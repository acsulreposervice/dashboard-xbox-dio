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Estudo Informatica\"/>
    </mc:Choice>
  </mc:AlternateContent>
  <xr:revisionPtr revIDLastSave="0" documentId="13_ncr:1_{884D2809-86FD-43E6-AF24-0E27ADD7FD6D}" xr6:coauthVersionLast="47" xr6:coauthVersionMax="47" xr10:uidLastSave="{00000000-0000-0000-0000-000000000000}"/>
  <bookViews>
    <workbookView xWindow="-108" yWindow="-108" windowWidth="23256" windowHeight="12456" tabRatio="772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Auto_Renewal">#N/A</definedName>
    <definedName name="SegmentaçãodeDados_Subscription_Type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6" i="3" l="1"/>
  <c r="D27" i="3"/>
</calcChain>
</file>

<file path=xl/sharedStrings.xml><?xml version="1.0" encoding="utf-8"?>
<sst xmlns="http://schemas.openxmlformats.org/spreadsheetml/2006/main" count="2029" uniqueCount="323">
  <si>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</si>
  <si>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</si>
  <si>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</si>
  <si>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</si>
  <si>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</si>
  <si>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</si>
  <si>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</si>
  <si>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</si>
  <si>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</si>
  <si>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</si>
  <si>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</si>
  <si>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</si>
  <si>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</si>
  <si>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</si>
  <si>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</si>
  <si>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</si>
  <si>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</si>
  <si>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</si>
  <si>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</si>
  <si>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</si>
  <si>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</si>
  <si>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</si>
  <si>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</si>
  <si>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</si>
  <si>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</si>
  <si>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</si>
  <si>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</si>
  <si>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</si>
  <si>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</si>
  <si>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</si>
  <si>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</si>
  <si>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</si>
  <si>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</si>
  <si>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</si>
  <si>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</si>
  <si>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</si>
  <si>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</si>
  <si>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</si>
  <si>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</si>
  <si>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</si>
  <si>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</si>
  <si>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</si>
  <si>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</si>
  <si>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</si>
  <si>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</si>
  <si>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</si>
  <si>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</si>
  <si>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</si>
  <si>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</si>
  <si>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</si>
  <si>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</si>
  <si>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</si>
  <si>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</si>
  <si>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</si>
  <si>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</si>
  <si>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</si>
  <si>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</si>
  <si>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</si>
  <si>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</si>
  <si>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</si>
  <si>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</si>
  <si>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</si>
  <si>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</si>
  <si>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</si>
  <si>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</si>
  <si>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</si>
  <si>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</si>
  <si>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</si>
  <si>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</si>
  <si>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</si>
  <si>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</si>
  <si>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</si>
  <si>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</si>
  <si>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</si>
  <si>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</si>
  <si>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</si>
  <si>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</si>
  <si>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</si>
  <si>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</si>
  <si>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</si>
  <si>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</si>
  <si>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</si>
  <si>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</si>
  <si>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</si>
  <si>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</si>
  <si>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</si>
  <si>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</si>
  <si>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</si>
  <si>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</si>
  <si>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</si>
  <si>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</si>
  <si>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</si>
  <si>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</si>
  <si>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</si>
  <si>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</si>
  <si>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</si>
  <si>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</si>
  <si>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</si>
  <si>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</si>
  <si>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</si>
  <si>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</si>
  <si>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</si>
  <si>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</si>
  <si>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</si>
  <si>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</si>
  <si>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</si>
  <si>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</si>
  <si>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</si>
  <si>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</si>
  <si>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</si>
  <si>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</si>
  <si>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</si>
  <si>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</si>
  <si>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</si>
  <si>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</si>
  <si>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</si>
  <si>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</si>
  <si>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</si>
  <si>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</si>
  <si>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</si>
  <si>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</si>
  <si>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</si>
  <si>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</si>
  <si>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</si>
  <si>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</si>
  <si>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</si>
  <si>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</si>
  <si>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</si>
  <si>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</si>
  <si>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</si>
  <si>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</si>
  <si>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</si>
  <si>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</si>
  <si>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</si>
  <si>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</si>
  <si>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</si>
  <si>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</si>
  <si>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</si>
  <si>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</si>
  <si>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</si>
  <si>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</si>
  <si>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</si>
  <si>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</si>
  <si>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</si>
  <si>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</si>
  <si>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</si>
  <si>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</si>
  <si>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</si>
  <si>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</si>
  <si>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</si>
  <si>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</si>
  <si>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</si>
  <si>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</si>
  <si>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</si>
  <si>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</si>
  <si>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</si>
  <si>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</si>
  <si>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</si>
  <si>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</si>
  <si>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</si>
  <si>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</si>
  <si>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</si>
  <si>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</si>
  <si>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</si>
  <si>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</si>
  <si>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</si>
  <si>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</si>
  <si>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</si>
  <si>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</si>
  <si>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</si>
  <si>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</si>
  <si>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</si>
  <si>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</si>
  <si>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</si>
  <si>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</si>
  <si>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</si>
  <si>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</si>
  <si>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</si>
  <si>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</si>
  <si>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</si>
  <si>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</si>
  <si>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</si>
  <si>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</si>
  <si>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</si>
  <si>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</si>
  <si>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</si>
  <si>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</si>
  <si>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</si>
  <si>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</si>
  <si>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</si>
  <si>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</si>
  <si>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</si>
  <si>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</si>
  <si>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</si>
  <si>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</si>
  <si>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</si>
  <si>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</si>
  <si>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</si>
  <si>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</si>
  <si>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</si>
  <si>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</si>
  <si>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</si>
  <si>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</si>
  <si>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</si>
  <si>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</si>
  <si>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</si>
  <si>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</si>
  <si>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</si>
  <si>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</si>
  <si>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</si>
  <si>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</si>
  <si>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</si>
  <si>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</si>
  <si>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</si>
  <si>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</si>
  <si>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</si>
  <si>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</si>
  <si>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</si>
  <si>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</si>
  <si>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</si>
  <si>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</si>
  <si>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</si>
  <si>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</si>
  <si>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</si>
  <si>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</si>
  <si>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</si>
  <si>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</si>
  <si>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</si>
  <si>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</si>
  <si>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</si>
  <si>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</si>
  <si>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</si>
  <si>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</si>
  <si>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</si>
  <si>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</si>
  <si>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</si>
  <si>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</si>
  <si>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</si>
  <si>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</si>
  <si>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</si>
  <si>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</si>
  <si>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</si>
  <si>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</si>
  <si>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</si>
  <si>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</si>
  <si>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</si>
  <si>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</si>
  <si>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</si>
  <si>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</si>
  <si>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</si>
  <si>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</si>
  <si>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</si>
  <si>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</si>
  <si>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</si>
  <si>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</si>
  <si>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</si>
  <si>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</si>
  <si>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</si>
  <si>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</si>
  <si>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</si>
  <si>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</si>
  <si>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</si>
  <si>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</si>
  <si>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</si>
  <si>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</si>
  <si>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</si>
  <si>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</si>
  <si>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</si>
  <si>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</si>
  <si>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</si>
  <si>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</si>
  <si>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</si>
  <si>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</si>
  <si>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</si>
  <si>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</si>
  <si>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</si>
  <si>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</si>
  <si>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</si>
  <si>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</si>
  <si>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</si>
  <si>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</si>
  <si>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</si>
  <si>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</si>
  <si>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</si>
  <si>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</si>
  <si>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</si>
  <si>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</si>
  <si>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</si>
  <si>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</si>
  <si>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</si>
  <si>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</si>
  <si>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</si>
  <si>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</si>
  <si>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</si>
  <si>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</si>
  <si>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</si>
  <si>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</si>
  <si>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</si>
  <si>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</si>
  <si>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</si>
  <si>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</si>
  <si>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</si>
  <si>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</si>
  <si>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</si>
  <si>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</si>
  <si>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</si>
  <si>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</si>
  <si>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</si>
  <si>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</si>
  <si>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</si>
  <si>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</si>
  <si>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</si>
  <si>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1: faturamento total dos planos anuais com todas as assinaturas agregadas</t>
  </si>
  <si>
    <t>Total Geral</t>
  </si>
  <si>
    <t>Soma de Total Value</t>
  </si>
  <si>
    <t>Rótulos de Linha</t>
  </si>
  <si>
    <t>2: Lista de faturamento anual separada por autorenovação</t>
  </si>
  <si>
    <t>#E8E6E9</t>
  </si>
  <si>
    <t>XBOX GAME PASS SUBSCRIPTION SALES</t>
  </si>
  <si>
    <t>Soma de EA Play Season Pass</t>
  </si>
  <si>
    <t>Soma de Minecraft Season Pass Price</t>
  </si>
  <si>
    <t>3: Lista de faturamento total EA PLAY SEASON PASS</t>
  </si>
  <si>
    <t>4: Lista de faturamento total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</si>
</sst>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20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4" fontId="3" fillId="0" borderId="0" xfId="0" applyNumberFormat="1" applyFont="1" applyAlignment="1">
      <alignment horizontal="center" vertical="center" wrapText="1"/>
    </xf>
    <xf numFmtId="0" fontId="4" fillId="0" borderId="0" xfId="3" applyBorder="1"/>
    <xf numFmtId="0" fontId="4" fillId="0" borderId="3" xfId="3" applyBorder="1"/>
    <xf numFmtId="0" fontId="5" fillId="0" borderId="3" xfId="3" applyFont="1" applyBorder="1"/>
    <xf numFmtId="0" fontId="6" fillId="7" borderId="0" xfId="0" applyFont="1" applyFill="1"/>
    <xf numFmtId="0" fontId="0" fillId="7" borderId="0" xfId="0" applyFont="1" applyFill="1"/>
    <xf numFmtId="165" fontId="0" fillId="0" borderId="0" xfId="0" applyNumberFormat="1"/>
    <xf numFmtId="164" fontId="0" fillId="0" borderId="0" xfId="0" applyNumberFormat="1"/>
    <xf numFmtId="0" fontId="0" fillId="0" borderId="0" xfId="0" pivotButton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NumberFormat="1" applyBorder="1"/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41">
    <dxf>
      <numFmt numFmtId="165" formatCode="&quot;R$&quot;\ #,##0.00"/>
    </dxf>
    <dxf>
      <numFmt numFmtId="165" formatCode="&quot;R$&quot;\ #,##0.00"/>
    </dxf>
    <dxf>
      <numFmt numFmtId="164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numFmt numFmtId="164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numFmt numFmtId="164" formatCode="_-[$R$-416]\ * #,##0.00_-;\-[$R$-416]\ * #,##0.00_-;_-[$R$-416]\ * &quot;-&quot;??_-;_-@_-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numFmt numFmtId="164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ill>
        <patternFill>
          <bgColor rgb="FF22C55E"/>
        </patternFill>
      </fill>
    </dxf>
  </dxfs>
  <tableStyles count="1" defaultTableStyle="TableStyleMedium2" defaultPivotStyle="PivotStyleLight16">
    <tableStyle name="SlicerStyleLight3 2" pivot="0" table="0" count="10" xr9:uid="{EC38CCE7-13B9-4690-98F5-825856AC2753}">
      <tableStyleElement type="wholeTable" dxfId="40"/>
      <tableStyleElement type="headerRow" dxfId="39"/>
    </tableStyle>
  </tableStyles>
  <colors>
    <mruColors>
      <color rgb="FF22C55E"/>
      <color rgb="FF00CC00"/>
      <color rgb="FF5BF6A8"/>
      <color rgb="FFE8E6E9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[dashboard_xbox_challenge.xlsx]C̳álculos!tbl_annual_total</c:name>
    <c:fmtId val="4"/>
  </c:pivotSource>
  <c:chart>
    <c:autoTitleDeleted val="1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0.1335940950575589"/>
          <c:y val="0.22304011679782837"/>
          <c:w val="0.72053865249040105"/>
          <c:h val="0.708718439374649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F7C-428F-A1CE-37AB5744E9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_-[$R$-416]\ * #,##0.00_-;\-[$R$-416]\ * #,##0.00_-;_-[$R$-416]\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9-4DF9-91B1-583C2D84BD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2029714959"/>
        <c:axId val="2029715375"/>
      </c:barChart>
      <c:catAx>
        <c:axId val="202971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9715375"/>
        <c:crosses val="autoZero"/>
        <c:auto val="1"/>
        <c:lblAlgn val="ctr"/>
        <c:lblOffset val="100"/>
        <c:noMultiLvlLbl val="0"/>
      </c:catAx>
      <c:valAx>
        <c:axId val="2029715375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02971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173355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" y="4021455"/>
          <a:ext cx="1341120" cy="112014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01395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648424</xdr:colOff>
      <xdr:row>0</xdr:row>
      <xdr:rowOff>141489</xdr:rowOff>
    </xdr:from>
    <xdr:to>
      <xdr:col>0</xdr:col>
      <xdr:colOff>1581873</xdr:colOff>
      <xdr:row>2</xdr:row>
      <xdr:rowOff>112059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EE18BA4-6565-42E0-8901-98C56C1133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7125" b="-3563"/>
        <a:stretch/>
      </xdr:blipFill>
      <xdr:spPr>
        <a:xfrm>
          <a:off x="648424" y="141489"/>
          <a:ext cx="933449" cy="832714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122823</xdr:rowOff>
    </xdr:from>
    <xdr:to>
      <xdr:col>0</xdr:col>
      <xdr:colOff>2160608</xdr:colOff>
      <xdr:row>10</xdr:row>
      <xdr:rowOff>70502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00184983-12C2-4DF7-A4CE-6BEEA78BBF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63057"/>
              <a:ext cx="2160608" cy="1186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7627</xdr:colOff>
      <xdr:row>2</xdr:row>
      <xdr:rowOff>165789</xdr:rowOff>
    </xdr:from>
    <xdr:to>
      <xdr:col>9</xdr:col>
      <xdr:colOff>669308</xdr:colOff>
      <xdr:row>11</xdr:row>
      <xdr:rowOff>138747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C378E2A2-3478-407B-9DA9-1E405B7F9C94}"/>
            </a:ext>
          </a:extLst>
        </xdr:cNvPr>
        <xdr:cNvSpPr/>
      </xdr:nvSpPr>
      <xdr:spPr>
        <a:xfrm>
          <a:off x="2468681" y="1144032"/>
          <a:ext cx="5346951" cy="1548445"/>
        </a:xfrm>
        <a:prstGeom prst="roundRect">
          <a:avLst>
            <a:gd name="adj" fmla="val 9858"/>
          </a:avLst>
        </a:prstGeom>
        <a:solidFill>
          <a:sysClr val="window" lastClr="FFFFFF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19928</xdr:colOff>
      <xdr:row>5</xdr:row>
      <xdr:rowOff>119530</xdr:rowOff>
    </xdr:from>
    <xdr:to>
      <xdr:col>10</xdr:col>
      <xdr:colOff>46463</xdr:colOff>
      <xdr:row>11</xdr:row>
      <xdr:rowOff>66117</xdr:rowOff>
    </xdr:to>
    <xdr:sp macro="" textlink="C̳álculos!D27">
      <xdr:nvSpPr>
        <xdr:cNvPr id="2" name="Retângulo: Cantos Arredondados 1">
          <a:extLst>
            <a:ext uri="{FF2B5EF4-FFF2-40B4-BE49-F238E27FC236}">
              <a16:creationId xmlns:a16="http://schemas.microsoft.com/office/drawing/2014/main" id="{7E32A3C6-CC72-4EF2-AB90-99E66B541FC1}"/>
            </a:ext>
          </a:extLst>
        </xdr:cNvPr>
        <xdr:cNvSpPr/>
      </xdr:nvSpPr>
      <xdr:spPr>
        <a:xfrm>
          <a:off x="4488955" y="1622935"/>
          <a:ext cx="3373157" cy="99691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444865F-D3E5-4273-B919-9118BC6AF8FF}" type="TxLink">
            <a:rPr lang="en-US" sz="4400" b="1" i="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R$ 990,00</a:t>
          </a:fld>
          <a:endParaRPr lang="pt-BR" sz="4400" b="1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28553</xdr:colOff>
      <xdr:row>7</xdr:row>
      <xdr:rowOff>734</xdr:rowOff>
    </xdr:from>
    <xdr:to>
      <xdr:col>4</xdr:col>
      <xdr:colOff>270743</xdr:colOff>
      <xdr:row>10</xdr:row>
      <xdr:rowOff>233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B7E8C76-9871-4ED0-A6A3-9BA53E857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337" b="34332"/>
        <a:stretch/>
      </xdr:blipFill>
      <xdr:spPr>
        <a:xfrm>
          <a:off x="2489607" y="1854248"/>
          <a:ext cx="1580839" cy="524661"/>
        </a:xfrm>
        <a:prstGeom prst="rect">
          <a:avLst/>
        </a:prstGeom>
      </xdr:spPr>
    </xdr:pic>
    <xdr:clientData/>
  </xdr:twoCellAnchor>
  <xdr:twoCellAnchor>
    <xdr:from>
      <xdr:col>2</xdr:col>
      <xdr:colOff>7627</xdr:colOff>
      <xdr:row>2</xdr:row>
      <xdr:rowOff>165788</xdr:rowOff>
    </xdr:from>
    <xdr:to>
      <xdr:col>9</xdr:col>
      <xdr:colOff>669307</xdr:colOff>
      <xdr:row>5</xdr:row>
      <xdr:rowOff>115904</xdr:rowOff>
    </xdr:to>
    <xdr:sp macro="" textlink="">
      <xdr:nvSpPr>
        <xdr:cNvPr id="5" name="Retângulo: Cantos Superiores Arredondados 4">
          <a:extLst>
            <a:ext uri="{FF2B5EF4-FFF2-40B4-BE49-F238E27FC236}">
              <a16:creationId xmlns:a16="http://schemas.microsoft.com/office/drawing/2014/main" id="{635007D9-35D4-4909-8B63-A5066F8F57E4}"/>
            </a:ext>
          </a:extLst>
        </xdr:cNvPr>
        <xdr:cNvSpPr/>
      </xdr:nvSpPr>
      <xdr:spPr>
        <a:xfrm>
          <a:off x="2468681" y="1144031"/>
          <a:ext cx="5346950" cy="475278"/>
        </a:xfrm>
        <a:prstGeom prst="round2SameRect">
          <a:avLst>
            <a:gd name="adj1" fmla="val 32510"/>
            <a:gd name="adj2" fmla="val 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 EA PLAY SEASON PASS</a:t>
          </a:r>
        </a:p>
      </xdr:txBody>
    </xdr:sp>
    <xdr:clientData/>
  </xdr:twoCellAnchor>
  <xdr:twoCellAnchor>
    <xdr:from>
      <xdr:col>2</xdr:col>
      <xdr:colOff>39278</xdr:colOff>
      <xdr:row>13</xdr:row>
      <xdr:rowOff>87522</xdr:rowOff>
    </xdr:from>
    <xdr:to>
      <xdr:col>19</xdr:col>
      <xdr:colOff>0</xdr:colOff>
      <xdr:row>36</xdr:row>
      <xdr:rowOff>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DB8981F5-2C63-43D1-B418-4CA213C4159F}"/>
            </a:ext>
          </a:extLst>
        </xdr:cNvPr>
        <xdr:cNvGrpSpPr/>
      </xdr:nvGrpSpPr>
      <xdr:grpSpPr>
        <a:xfrm>
          <a:off x="2498103" y="2852718"/>
          <a:ext cx="11147196" cy="3887447"/>
          <a:chOff x="2461054" y="2991360"/>
          <a:chExt cx="5354595" cy="2857663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FE2D7E3E-BC0E-4704-BA1F-77BD5649F5A9}"/>
              </a:ext>
            </a:extLst>
          </xdr:cNvPr>
          <xdr:cNvGrpSpPr/>
        </xdr:nvGrpSpPr>
        <xdr:grpSpPr>
          <a:xfrm>
            <a:off x="2461054" y="3015350"/>
            <a:ext cx="5354595" cy="2833673"/>
            <a:chOff x="2371725" y="1400175"/>
            <a:chExt cx="4686300" cy="2819400"/>
          </a:xfrm>
          <a:effectLst/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4BB1686D-62B7-4FCB-890E-22A2B6E54FA8}"/>
                </a:ext>
              </a:extLst>
            </xdr:cNvPr>
            <xdr:cNvSpPr/>
          </xdr:nvSpPr>
          <xdr:spPr>
            <a:xfrm>
              <a:off x="2371725" y="1400175"/>
              <a:ext cx="4686300" cy="2819400"/>
            </a:xfrm>
            <a:prstGeom prst="roundRect">
              <a:avLst>
                <a:gd name="adj" fmla="val 4995"/>
              </a:avLst>
            </a:prstGeom>
            <a:solidFill>
              <a:sysClr val="window" lastClr="FFFFFF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endParaRPr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8E02D40E-699B-4773-8E53-0BC16165FA69}"/>
                </a:ext>
              </a:extLst>
            </xdr:cNvPr>
            <xdr:cNvGraphicFramePr>
              <a:graphicFrameLocks/>
            </xdr:cNvGraphicFramePr>
          </xdr:nvGraphicFramePr>
          <xdr:xfrm>
            <a:off x="2371726" y="1485893"/>
            <a:ext cx="4505324" cy="264795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4A3D2CDB-3532-4EE1-AD4C-33CA9D322D91}"/>
              </a:ext>
            </a:extLst>
          </xdr:cNvPr>
          <xdr:cNvSpPr/>
        </xdr:nvSpPr>
        <xdr:spPr>
          <a:xfrm>
            <a:off x="2461054" y="2991360"/>
            <a:ext cx="5354552" cy="475278"/>
          </a:xfrm>
          <a:prstGeom prst="round2SameRect">
            <a:avLst>
              <a:gd name="adj1" fmla="val 3251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 XBOX GAME PASS</a:t>
            </a:r>
          </a:p>
        </xdr:txBody>
      </xdr:sp>
    </xdr:grpSp>
    <xdr:clientData/>
  </xdr:twoCellAnchor>
  <xdr:twoCellAnchor>
    <xdr:from>
      <xdr:col>10</xdr:col>
      <xdr:colOff>453669</xdr:colOff>
      <xdr:row>3</xdr:row>
      <xdr:rowOff>1</xdr:rowOff>
    </xdr:from>
    <xdr:to>
      <xdr:col>19</xdr:col>
      <xdr:colOff>0</xdr:colOff>
      <xdr:row>11</xdr:row>
      <xdr:rowOff>120806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1CDE699F-3659-4C96-AE37-0276C28CEA5A}"/>
            </a:ext>
          </a:extLst>
        </xdr:cNvPr>
        <xdr:cNvGrpSpPr/>
      </xdr:nvGrpSpPr>
      <xdr:grpSpPr>
        <a:xfrm>
          <a:off x="8254349" y="1036949"/>
          <a:ext cx="5390950" cy="1503403"/>
          <a:chOff x="2488766" y="1217340"/>
          <a:chExt cx="5400722" cy="1514203"/>
        </a:xfrm>
      </xdr:grpSpPr>
      <xdr:sp macro="" textlink="">
        <xdr:nvSpPr>
          <xdr:cNvPr id="58" name="Retângulo: Cantos Arredondados 57">
            <a:extLst>
              <a:ext uri="{FF2B5EF4-FFF2-40B4-BE49-F238E27FC236}">
                <a16:creationId xmlns:a16="http://schemas.microsoft.com/office/drawing/2014/main" id="{6749A39D-F1A1-4012-8AD3-6BFA3CFF77B7}"/>
              </a:ext>
            </a:extLst>
          </xdr:cNvPr>
          <xdr:cNvSpPr/>
        </xdr:nvSpPr>
        <xdr:spPr>
          <a:xfrm>
            <a:off x="2488766" y="1217341"/>
            <a:ext cx="5344965" cy="1514202"/>
          </a:xfrm>
          <a:prstGeom prst="roundRect">
            <a:avLst>
              <a:gd name="adj" fmla="val 9858"/>
            </a:avLst>
          </a:prstGeom>
          <a:solidFill>
            <a:sysClr val="window" lastClr="FFFFFF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C̳álculos!D36">
        <xdr:nvSpPr>
          <xdr:cNvPr id="59" name="Retângulo: Cantos Arredondados 58">
            <a:extLst>
              <a:ext uri="{FF2B5EF4-FFF2-40B4-BE49-F238E27FC236}">
                <a16:creationId xmlns:a16="http://schemas.microsoft.com/office/drawing/2014/main" id="{0E192257-737C-4EA3-B792-AADB536AF7EC}"/>
              </a:ext>
            </a:extLst>
          </xdr:cNvPr>
          <xdr:cNvSpPr/>
        </xdr:nvSpPr>
        <xdr:spPr>
          <a:xfrm>
            <a:off x="4517584" y="1634114"/>
            <a:ext cx="3371904" cy="974866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A45946E-784B-4D18-8F33-A1B06F2A0832}" type="TxLink">
              <a:rPr lang="en-US" sz="44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R$ 1.140,00</a:t>
            </a:fld>
            <a:endParaRPr lang="pt-BR" sz="44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61" name="Retângulo: Cantos Superiores Arredondados 60">
            <a:extLst>
              <a:ext uri="{FF2B5EF4-FFF2-40B4-BE49-F238E27FC236}">
                <a16:creationId xmlns:a16="http://schemas.microsoft.com/office/drawing/2014/main" id="{ACE2AEEA-F3A2-43D5-A047-7ACBA6DFEB10}"/>
              </a:ext>
            </a:extLst>
          </xdr:cNvPr>
          <xdr:cNvSpPr/>
        </xdr:nvSpPr>
        <xdr:spPr>
          <a:xfrm>
            <a:off x="2488766" y="1217340"/>
            <a:ext cx="5344964" cy="464768"/>
          </a:xfrm>
          <a:prstGeom prst="round2SameRect">
            <a:avLst>
              <a:gd name="adj1" fmla="val 3251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 MINECRAFT SEASON PASS</a:t>
            </a:r>
          </a:p>
        </xdr:txBody>
      </xdr:sp>
    </xdr:grpSp>
    <xdr:clientData/>
  </xdr:twoCellAnchor>
  <xdr:twoCellAnchor editAs="absolute">
    <xdr:from>
      <xdr:col>10</xdr:col>
      <xdr:colOff>574476</xdr:colOff>
      <xdr:row>8</xdr:row>
      <xdr:rowOff>2588</xdr:rowOff>
    </xdr:from>
    <xdr:to>
      <xdr:col>13</xdr:col>
      <xdr:colOff>466880</xdr:colOff>
      <xdr:row>9</xdr:row>
      <xdr:rowOff>55934</xdr:rowOff>
    </xdr:to>
    <xdr:pic>
      <xdr:nvPicPr>
        <xdr:cNvPr id="67" name="Gráfico 66">
          <a:extLst>
            <a:ext uri="{FF2B5EF4-FFF2-40B4-BE49-F238E27FC236}">
              <a16:creationId xmlns:a16="http://schemas.microsoft.com/office/drawing/2014/main" id="{949A0AF4-0650-4991-A082-B42BA992D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389622" y="1921892"/>
          <a:ext cx="1732356" cy="236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</xdr:rowOff>
    </xdr:from>
    <xdr:to>
      <xdr:col>1</xdr:col>
      <xdr:colOff>2474</xdr:colOff>
      <xdr:row>15</xdr:row>
      <xdr:rowOff>18587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Auto Renewal">
              <a:extLst>
                <a:ext uri="{FF2B5EF4-FFF2-40B4-BE49-F238E27FC236}">
                  <a16:creationId xmlns:a16="http://schemas.microsoft.com/office/drawing/2014/main" id="{3604B265-C63F-4601-81D0-969E2AC3F8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78677"/>
              <a:ext cx="2183027" cy="8938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ton Reis" refreshedDate="46067.658350694444" createdVersion="7" refreshedVersion="7" minRefreshableVersion="3" recordCount="293" xr:uid="{2FA0D82F-9289-4146-9385-2394E98D234F}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4230507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ton Reis" refreshedDate="46067.68213252315" createdVersion="7" refreshedVersion="7" minRefreshableVersion="3" recordCount="293" xr:uid="{2B747D97-9591-43EA-A743-07953FBBE047}">
  <cacheSource type="worksheet">
    <worksheetSource ref="B1:M294" sheet="B̳ases"/>
  </cacheSource>
  <cacheFields count="12"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s v="João Silva"/>
    <x v="0"/>
    <d v="2024-01-01T00:00:00"/>
    <s v="Yes"/>
    <n v="15"/>
    <x v="0"/>
    <s v="Yes"/>
    <n v="30"/>
    <s v="Yes"/>
    <n v="20"/>
    <n v="5"/>
    <n v="60"/>
  </r>
  <r>
    <s v="Maria Oliveira"/>
    <x v="1"/>
    <d v="2024-01-15T00:00:00"/>
    <s v="No"/>
    <n v="5"/>
    <x v="1"/>
    <s v="No"/>
    <s v="-"/>
    <s v="No"/>
    <n v="0"/>
    <n v="0"/>
    <n v="5"/>
  </r>
  <r>
    <s v="Lucas Fernandes"/>
    <x v="2"/>
    <d v="2024-02-10T00:00:00"/>
    <s v="Yes"/>
    <n v="10"/>
    <x v="2"/>
    <s v="No"/>
    <s v="-"/>
    <s v="Yes"/>
    <n v="20"/>
    <n v="10"/>
    <n v="20"/>
  </r>
  <r>
    <s v="Ana Souza"/>
    <x v="0"/>
    <d v="2024-02-20T00:00:00"/>
    <s v="No"/>
    <n v="15"/>
    <x v="0"/>
    <s v="Yes"/>
    <n v="30"/>
    <s v="Yes"/>
    <n v="20"/>
    <n v="3"/>
    <n v="62"/>
  </r>
  <r>
    <s v="Pedro Gonçalves"/>
    <x v="1"/>
    <d v="2024-03-05T00:00:00"/>
    <s v="Yes"/>
    <n v="5"/>
    <x v="0"/>
    <s v="No"/>
    <s v="-"/>
    <s v="No"/>
    <n v="0"/>
    <n v="1"/>
    <n v="4"/>
  </r>
  <r>
    <s v="Felipe Costa"/>
    <x v="2"/>
    <d v="2024-03-02T00:00:00"/>
    <s v="No"/>
    <n v="10"/>
    <x v="0"/>
    <s v="No"/>
    <s v="-"/>
    <s v="Yes"/>
    <n v="20"/>
    <n v="2"/>
    <n v="28"/>
  </r>
  <r>
    <s v="Camila Ribeiro"/>
    <x v="0"/>
    <d v="2024-03-03T00:00:00"/>
    <s v="Yes"/>
    <n v="15"/>
    <x v="2"/>
    <s v="Yes"/>
    <n v="30"/>
    <s v="Yes"/>
    <n v="20"/>
    <n v="10"/>
    <n v="55"/>
  </r>
  <r>
    <s v="André Mendes"/>
    <x v="1"/>
    <d v="2024-03-04T00:00:00"/>
    <s v="Yes"/>
    <n v="5"/>
    <x v="1"/>
    <s v="No"/>
    <s v="-"/>
    <s v="No"/>
    <n v="0"/>
    <n v="0"/>
    <n v="5"/>
  </r>
  <r>
    <s v="Sofia Almeida"/>
    <x v="0"/>
    <d v="2024-03-05T00:00:00"/>
    <s v="No"/>
    <n v="15"/>
    <x v="0"/>
    <s v="Yes"/>
    <n v="30"/>
    <s v="Yes"/>
    <n v="20"/>
    <n v="5"/>
    <n v="60"/>
  </r>
  <r>
    <s v="Bruno Martins"/>
    <x v="2"/>
    <d v="2024-03-06T00:00:00"/>
    <s v="Yes"/>
    <n v="10"/>
    <x v="2"/>
    <s v="No"/>
    <s v="-"/>
    <s v="Yes"/>
    <n v="20"/>
    <n v="15"/>
    <n v="15"/>
  </r>
  <r>
    <s v="Rita Castro"/>
    <x v="1"/>
    <d v="2024-03-07T00:00:00"/>
    <s v="No"/>
    <n v="5"/>
    <x v="0"/>
    <s v="No"/>
    <s v="-"/>
    <s v="No"/>
    <n v="0"/>
    <n v="1"/>
    <n v="4"/>
  </r>
  <r>
    <s v="Marco Túlio"/>
    <x v="0"/>
    <d v="2024-03-08T00:00:00"/>
    <s v="Yes"/>
    <n v="15"/>
    <x v="1"/>
    <s v="Yes"/>
    <n v="30"/>
    <s v="Yes"/>
    <n v="20"/>
    <n v="20"/>
    <n v="45"/>
  </r>
  <r>
    <s v="Lívia Silveira"/>
    <x v="2"/>
    <d v="2024-03-09T00:00:00"/>
    <s v="No"/>
    <n v="10"/>
    <x v="0"/>
    <s v="No"/>
    <s v="-"/>
    <s v="Yes"/>
    <n v="20"/>
    <n v="10"/>
    <n v="20"/>
  </r>
  <r>
    <s v="Diogo Sousa"/>
    <x v="1"/>
    <d v="2024-03-10T00:00:00"/>
    <s v="Yes"/>
    <n v="5"/>
    <x v="2"/>
    <s v="No"/>
    <s v="-"/>
    <s v="No"/>
    <n v="0"/>
    <n v="0"/>
    <n v="5"/>
  </r>
  <r>
    <s v="Fernanda Lima"/>
    <x v="0"/>
    <d v="2024-03-11T00:00:00"/>
    <s v="No"/>
    <n v="15"/>
    <x v="0"/>
    <s v="Yes"/>
    <n v="30"/>
    <s v="Yes"/>
    <n v="20"/>
    <n v="8"/>
    <n v="57"/>
  </r>
  <r>
    <s v="Caio Pereira"/>
    <x v="2"/>
    <d v="2024-03-12T00:00:00"/>
    <s v="Yes"/>
    <n v="10"/>
    <x v="1"/>
    <s v="No"/>
    <s v="-"/>
    <s v="Yes"/>
    <n v="20"/>
    <n v="12"/>
    <n v="18"/>
  </r>
  <r>
    <s v="Beatriz Gomes"/>
    <x v="1"/>
    <d v="2024-03-13T00:00:00"/>
    <s v="No"/>
    <n v="5"/>
    <x v="0"/>
    <s v="No"/>
    <s v="-"/>
    <s v="No"/>
    <n v="0"/>
    <n v="2"/>
    <n v="3"/>
  </r>
  <r>
    <s v="Cesar Oliveira"/>
    <x v="0"/>
    <d v="2024-03-14T00:00:00"/>
    <s v="Yes"/>
    <n v="15"/>
    <x v="2"/>
    <s v="Yes"/>
    <n v="30"/>
    <s v="Yes"/>
    <n v="20"/>
    <n v="7"/>
    <n v="58"/>
  </r>
  <r>
    <s v="Débora Machado"/>
    <x v="2"/>
    <d v="2024-03-15T00:00:00"/>
    <s v="No"/>
    <n v="10"/>
    <x v="0"/>
    <s v="No"/>
    <s v="-"/>
    <s v="Yes"/>
    <n v="20"/>
    <n v="5"/>
    <n v="25"/>
  </r>
  <r>
    <s v="Eduardo Vargas"/>
    <x v="1"/>
    <d v="2024-03-16T00:00:00"/>
    <s v="Yes"/>
    <n v="5"/>
    <x v="1"/>
    <s v="No"/>
    <s v="-"/>
    <s v="No"/>
    <n v="0"/>
    <n v="0"/>
    <n v="5"/>
  </r>
  <r>
    <s v="Gabriela Santos"/>
    <x v="0"/>
    <d v="2024-03-17T00:00:00"/>
    <s v="No"/>
    <n v="15"/>
    <x v="0"/>
    <s v="Yes"/>
    <n v="30"/>
    <s v="Yes"/>
    <n v="20"/>
    <n v="3"/>
    <n v="62"/>
  </r>
  <r>
    <s v="Henrique Dias"/>
    <x v="2"/>
    <d v="2024-03-18T00:00:00"/>
    <s v="Yes"/>
    <n v="10"/>
    <x v="2"/>
    <s v="No"/>
    <s v="-"/>
    <s v="Yes"/>
    <n v="20"/>
    <n v="15"/>
    <n v="15"/>
  </r>
  <r>
    <s v="Isabela Moreira"/>
    <x v="1"/>
    <d v="2024-03-19T00:00:00"/>
    <s v="No"/>
    <n v="5"/>
    <x v="0"/>
    <s v="No"/>
    <s v="-"/>
    <s v="No"/>
    <n v="0"/>
    <n v="1"/>
    <n v="4"/>
  </r>
  <r>
    <s v="Joaquim Barbosa"/>
    <x v="0"/>
    <d v="2024-03-20T00:00:00"/>
    <s v="Yes"/>
    <n v="15"/>
    <x v="1"/>
    <s v="Yes"/>
    <n v="30"/>
    <s v="Yes"/>
    <n v="20"/>
    <n v="20"/>
    <n v="45"/>
  </r>
  <r>
    <s v="Lara Rocha"/>
    <x v="2"/>
    <d v="2024-03-21T00:00:00"/>
    <s v="No"/>
    <n v="10"/>
    <x v="0"/>
    <s v="No"/>
    <s v="-"/>
    <s v="Yes"/>
    <n v="20"/>
    <n v="10"/>
    <n v="20"/>
  </r>
  <r>
    <s v="Matheus Silva"/>
    <x v="1"/>
    <d v="2024-03-22T00:00:00"/>
    <s v="Yes"/>
    <n v="5"/>
    <x v="2"/>
    <s v="No"/>
    <s v="-"/>
    <s v="No"/>
    <n v="0"/>
    <n v="0"/>
    <n v="5"/>
  </r>
  <r>
    <s v="Nicole Costa"/>
    <x v="0"/>
    <d v="2024-03-23T00:00:00"/>
    <s v="No"/>
    <n v="15"/>
    <x v="0"/>
    <s v="Yes"/>
    <n v="30"/>
    <s v="Yes"/>
    <n v="20"/>
    <n v="5"/>
    <n v="60"/>
  </r>
  <r>
    <s v="Otávio Mendonça"/>
    <x v="2"/>
    <d v="2024-03-24T00:00:00"/>
    <s v="Yes"/>
    <n v="10"/>
    <x v="1"/>
    <s v="No"/>
    <s v="-"/>
    <s v="Yes"/>
    <n v="20"/>
    <n v="15"/>
    <n v="15"/>
  </r>
  <r>
    <s v="Paula Ferreira"/>
    <x v="1"/>
    <d v="2024-03-25T00:00:00"/>
    <s v="No"/>
    <n v="5"/>
    <x v="0"/>
    <s v="No"/>
    <s v="-"/>
    <s v="No"/>
    <n v="0"/>
    <n v="1"/>
    <n v="4"/>
  </r>
  <r>
    <s v="Raquel Alves"/>
    <x v="0"/>
    <d v="2024-03-26T00:00:00"/>
    <s v="Yes"/>
    <n v="15"/>
    <x v="2"/>
    <s v="Yes"/>
    <n v="30"/>
    <s v="Yes"/>
    <n v="20"/>
    <n v="7"/>
    <n v="58"/>
  </r>
  <r>
    <s v="Samuel Pires"/>
    <x v="2"/>
    <d v="2024-03-27T00:00:00"/>
    <s v="No"/>
    <n v="10"/>
    <x v="0"/>
    <s v="No"/>
    <s v="-"/>
    <s v="Yes"/>
    <n v="20"/>
    <n v="10"/>
    <n v="20"/>
  </r>
  <r>
    <s v="Tânia Barros"/>
    <x v="1"/>
    <d v="2024-03-28T00:00:00"/>
    <s v="Yes"/>
    <n v="5"/>
    <x v="1"/>
    <s v="No"/>
    <s v="-"/>
    <s v="No"/>
    <n v="0"/>
    <n v="0"/>
    <n v="5"/>
  </r>
  <r>
    <s v="Vinicius Lima"/>
    <x v="0"/>
    <d v="2024-03-29T00:00:00"/>
    <s v="No"/>
    <n v="15"/>
    <x v="0"/>
    <s v="Yes"/>
    <n v="30"/>
    <s v="Yes"/>
    <n v="20"/>
    <n v="3"/>
    <n v="62"/>
  </r>
  <r>
    <s v="Yasmin Teixeira"/>
    <x v="2"/>
    <d v="2024-03-30T00:00:00"/>
    <s v="Yes"/>
    <n v="10"/>
    <x v="2"/>
    <s v="No"/>
    <s v="-"/>
    <s v="Yes"/>
    <n v="20"/>
    <n v="15"/>
    <n v="15"/>
  </r>
  <r>
    <s v="Zé Carlos"/>
    <x v="1"/>
    <d v="2024-03-31T00:00:00"/>
    <s v="No"/>
    <n v="5"/>
    <x v="0"/>
    <s v="No"/>
    <s v="-"/>
    <s v="No"/>
    <n v="0"/>
    <n v="1"/>
    <n v="4"/>
  </r>
  <r>
    <s v="Amanda Nogueira"/>
    <x v="1"/>
    <d v="2024-04-01T00:00:00"/>
    <s v="Yes"/>
    <n v="5"/>
    <x v="0"/>
    <s v="No"/>
    <s v="-"/>
    <s v="No"/>
    <n v="0"/>
    <n v="0"/>
    <n v="5"/>
  </r>
  <r>
    <s v="Bruno Cavalheiro"/>
    <x v="0"/>
    <d v="2024-04-02T00:00:00"/>
    <s v="No"/>
    <n v="15"/>
    <x v="2"/>
    <s v="Yes"/>
    <n v="30"/>
    <s v="Yes"/>
    <n v="20"/>
    <n v="7"/>
    <n v="58"/>
  </r>
  <r>
    <s v="Carla Dias"/>
    <x v="2"/>
    <d v="2024-04-03T00:00:00"/>
    <s v="Yes"/>
    <n v="10"/>
    <x v="1"/>
    <s v="No"/>
    <s v="-"/>
    <s v="Yes"/>
    <n v="20"/>
    <n v="10"/>
    <n v="20"/>
  </r>
  <r>
    <s v="Diego Fontes"/>
    <x v="1"/>
    <d v="2024-04-04T00:00:00"/>
    <s v="No"/>
    <n v="5"/>
    <x v="2"/>
    <s v="No"/>
    <s v="-"/>
    <s v="No"/>
    <n v="0"/>
    <n v="1"/>
    <n v="4"/>
  </r>
  <r>
    <s v="Eunice Lima"/>
    <x v="0"/>
    <d v="2024-04-05T00:00:00"/>
    <s v="Yes"/>
    <n v="15"/>
    <x v="0"/>
    <s v="Yes"/>
    <n v="30"/>
    <s v="Yes"/>
    <n v="20"/>
    <n v="15"/>
    <n v="50"/>
  </r>
  <r>
    <s v="Fábio Martins"/>
    <x v="2"/>
    <d v="2024-04-06T00:00:00"/>
    <s v="No"/>
    <n v="10"/>
    <x v="0"/>
    <s v="No"/>
    <s v="-"/>
    <s v="Yes"/>
    <n v="20"/>
    <n v="5"/>
    <n v="25"/>
  </r>
  <r>
    <s v="Gisele Araújo"/>
    <x v="1"/>
    <d v="2024-04-07T00:00:00"/>
    <s v="Yes"/>
    <n v="5"/>
    <x v="1"/>
    <s v="No"/>
    <s v="-"/>
    <s v="No"/>
    <n v="0"/>
    <n v="0"/>
    <n v="5"/>
  </r>
  <r>
    <s v="Hélio Castro"/>
    <x v="0"/>
    <d v="2024-04-08T00:00:00"/>
    <s v="No"/>
    <n v="15"/>
    <x v="2"/>
    <s v="Yes"/>
    <n v="30"/>
    <s v="Yes"/>
    <n v="20"/>
    <n v="20"/>
    <n v="45"/>
  </r>
  <r>
    <s v="Ingrid Menezes"/>
    <x v="2"/>
    <d v="2024-04-09T00:00:00"/>
    <s v="Yes"/>
    <n v="10"/>
    <x v="2"/>
    <s v="No"/>
    <s v="-"/>
    <s v="Yes"/>
    <n v="20"/>
    <n v="12"/>
    <n v="18"/>
  </r>
  <r>
    <s v="Jorge Baptista"/>
    <x v="1"/>
    <d v="2024-04-10T00:00:00"/>
    <s v="No"/>
    <n v="5"/>
    <x v="0"/>
    <s v="No"/>
    <s v="-"/>
    <s v="No"/>
    <n v="0"/>
    <n v="2"/>
    <n v="3"/>
  </r>
  <r>
    <s v="Kléber Oliveira"/>
    <x v="0"/>
    <d v="2024-04-11T00:00:00"/>
    <s v="Yes"/>
    <n v="15"/>
    <x v="1"/>
    <s v="Yes"/>
    <n v="30"/>
    <s v="Yes"/>
    <n v="20"/>
    <n v="5"/>
    <n v="60"/>
  </r>
  <r>
    <s v="Luciana Freitas"/>
    <x v="2"/>
    <d v="2024-04-12T00:00:00"/>
    <s v="No"/>
    <n v="10"/>
    <x v="0"/>
    <s v="No"/>
    <s v="-"/>
    <s v="Yes"/>
    <n v="20"/>
    <n v="10"/>
    <n v="20"/>
  </r>
  <r>
    <s v="Márcia Eller"/>
    <x v="1"/>
    <d v="2024-04-13T00:00:00"/>
    <s v="Yes"/>
    <n v="5"/>
    <x v="2"/>
    <s v="No"/>
    <s v="-"/>
    <s v="No"/>
    <n v="0"/>
    <n v="0"/>
    <n v="5"/>
  </r>
  <r>
    <s v="Nilo Peçanha"/>
    <x v="0"/>
    <d v="2024-04-14T00:00:00"/>
    <s v="No"/>
    <n v="15"/>
    <x v="0"/>
    <s v="Yes"/>
    <n v="30"/>
    <s v="Yes"/>
    <n v="20"/>
    <n v="3"/>
    <n v="62"/>
  </r>
  <r>
    <s v="Oscar Neves"/>
    <x v="2"/>
    <d v="2024-04-15T00:00:00"/>
    <s v="Yes"/>
    <n v="10"/>
    <x v="1"/>
    <s v="No"/>
    <s v="-"/>
    <s v="Yes"/>
    <n v="20"/>
    <n v="15"/>
    <n v="15"/>
  </r>
  <r>
    <s v="Patrícia Soares"/>
    <x v="1"/>
    <d v="2024-04-16T00:00:00"/>
    <s v="No"/>
    <n v="5"/>
    <x v="0"/>
    <s v="No"/>
    <s v="-"/>
    <s v="No"/>
    <n v="0"/>
    <n v="1"/>
    <n v="4"/>
  </r>
  <r>
    <s v="Quirino Gonçalves"/>
    <x v="0"/>
    <d v="2024-04-17T00:00:00"/>
    <s v="Yes"/>
    <n v="15"/>
    <x v="2"/>
    <s v="Yes"/>
    <n v="30"/>
    <s v="Yes"/>
    <n v="20"/>
    <n v="7"/>
    <n v="58"/>
  </r>
  <r>
    <s v="Raul Machado"/>
    <x v="2"/>
    <d v="2024-04-18T00:00:00"/>
    <s v="No"/>
    <n v="10"/>
    <x v="0"/>
    <s v="No"/>
    <s v="-"/>
    <s v="Yes"/>
    <n v="20"/>
    <n v="10"/>
    <n v="20"/>
  </r>
  <r>
    <s v="Sônia Lobo"/>
    <x v="1"/>
    <d v="2024-04-19T00:00:00"/>
    <s v="Yes"/>
    <n v="5"/>
    <x v="1"/>
    <s v="No"/>
    <s v="-"/>
    <s v="No"/>
    <n v="0"/>
    <n v="0"/>
    <n v="5"/>
  </r>
  <r>
    <s v="Tiago Ramos"/>
    <x v="0"/>
    <d v="2024-04-20T00:00:00"/>
    <s v="No"/>
    <n v="15"/>
    <x v="0"/>
    <s v="Yes"/>
    <n v="30"/>
    <s v="Yes"/>
    <n v="20"/>
    <n v="20"/>
    <n v="45"/>
  </r>
  <r>
    <s v="Ugo Pires"/>
    <x v="2"/>
    <d v="2024-04-21T00:00:00"/>
    <s v="Yes"/>
    <n v="10"/>
    <x v="2"/>
    <s v="No"/>
    <s v="-"/>
    <s v="Yes"/>
    <n v="20"/>
    <n v="15"/>
    <n v="15"/>
  </r>
  <r>
    <s v="Valéria Nobre"/>
    <x v="1"/>
    <d v="2024-04-22T00:00:00"/>
    <s v="No"/>
    <n v="5"/>
    <x v="0"/>
    <s v="No"/>
    <s v="-"/>
    <s v="No"/>
    <n v="0"/>
    <n v="1"/>
    <n v="4"/>
  </r>
  <r>
    <s v="William Siqueira"/>
    <x v="0"/>
    <d v="2024-04-23T00:00:00"/>
    <s v="Yes"/>
    <n v="15"/>
    <x v="1"/>
    <s v="Yes"/>
    <n v="30"/>
    <s v="Yes"/>
    <n v="20"/>
    <n v="3"/>
    <n v="62"/>
  </r>
  <r>
    <s v="Xuxa Meneghel"/>
    <x v="2"/>
    <d v="2024-04-24T00:00:00"/>
    <s v="No"/>
    <n v="10"/>
    <x v="0"/>
    <s v="No"/>
    <s v="-"/>
    <s v="Yes"/>
    <n v="20"/>
    <n v="10"/>
    <n v="20"/>
  </r>
  <r>
    <s v="Yara Figueiredo"/>
    <x v="1"/>
    <d v="2024-04-25T00:00:00"/>
    <s v="Yes"/>
    <n v="5"/>
    <x v="2"/>
    <s v="No"/>
    <s v="-"/>
    <s v="No"/>
    <n v="0"/>
    <n v="0"/>
    <n v="5"/>
  </r>
  <r>
    <s v="Zacarias Alves"/>
    <x v="0"/>
    <d v="2024-04-26T00:00:00"/>
    <s v="No"/>
    <n v="15"/>
    <x v="0"/>
    <s v="Yes"/>
    <n v="30"/>
    <s v="Yes"/>
    <n v="20"/>
    <n v="5"/>
    <n v="60"/>
  </r>
  <r>
    <s v="Amanda Bynes"/>
    <x v="2"/>
    <d v="2024-04-27T00:00:00"/>
    <s v="Yes"/>
    <n v="10"/>
    <x v="1"/>
    <s v="No"/>
    <s v="-"/>
    <s v="Yes"/>
    <n v="20"/>
    <n v="15"/>
    <n v="15"/>
  </r>
  <r>
    <s v="Bruno Mars"/>
    <x v="1"/>
    <d v="2024-04-28T00:00:00"/>
    <s v="No"/>
    <n v="5"/>
    <x v="0"/>
    <s v="No"/>
    <s v="-"/>
    <s v="No"/>
    <n v="0"/>
    <n v="1"/>
    <n v="4"/>
  </r>
  <r>
    <s v="Carla Bruni"/>
    <x v="0"/>
    <d v="2024-04-29T00:00:00"/>
    <s v="Yes"/>
    <n v="15"/>
    <x v="2"/>
    <s v="Yes"/>
    <n v="30"/>
    <s v="Yes"/>
    <n v="20"/>
    <n v="20"/>
    <n v="45"/>
  </r>
  <r>
    <s v="Diego Maradona"/>
    <x v="2"/>
    <d v="2024-04-30T00:00:00"/>
    <s v="No"/>
    <n v="10"/>
    <x v="0"/>
    <s v="No"/>
    <s v="-"/>
    <s v="Yes"/>
    <n v="20"/>
    <n v="5"/>
    <n v="25"/>
  </r>
  <r>
    <s v="Estela Marques"/>
    <x v="1"/>
    <d v="2024-05-01T00:00:00"/>
    <s v="No"/>
    <n v="5"/>
    <x v="0"/>
    <s v="No"/>
    <s v="-"/>
    <s v="No"/>
    <n v="0"/>
    <n v="0"/>
    <n v="5"/>
  </r>
  <r>
    <s v="Fábio Nobre"/>
    <x v="0"/>
    <d v="2024-05-02T00:00:00"/>
    <s v="Yes"/>
    <n v="15"/>
    <x v="2"/>
    <s v="Yes"/>
    <n v="30"/>
    <s v="Yes"/>
    <n v="20"/>
    <n v="7"/>
    <n v="58"/>
  </r>
  <r>
    <s v="Gabriel Oliveira"/>
    <x v="2"/>
    <d v="2024-05-03T00:00:00"/>
    <s v="No"/>
    <n v="10"/>
    <x v="1"/>
    <s v="No"/>
    <s v="-"/>
    <s v="Yes"/>
    <n v="20"/>
    <n v="10"/>
    <n v="20"/>
  </r>
  <r>
    <s v="Helena Santos"/>
    <x v="1"/>
    <d v="2024-05-04T00:00:00"/>
    <s v="Yes"/>
    <n v="5"/>
    <x v="2"/>
    <s v="No"/>
    <s v="-"/>
    <s v="No"/>
    <n v="0"/>
    <n v="1"/>
    <n v="4"/>
  </r>
  <r>
    <s v="Ivan Carvalho"/>
    <x v="0"/>
    <d v="2024-05-05T00:00:00"/>
    <s v="No"/>
    <n v="15"/>
    <x v="0"/>
    <s v="Yes"/>
    <n v="30"/>
    <s v="Yes"/>
    <n v="20"/>
    <n v="15"/>
    <n v="50"/>
  </r>
  <r>
    <s v="Júlia Ferreira"/>
    <x v="2"/>
    <d v="2024-05-06T00:00:00"/>
    <s v="Yes"/>
    <n v="10"/>
    <x v="0"/>
    <s v="No"/>
    <s v="-"/>
    <s v="Yes"/>
    <n v="20"/>
    <n v="5"/>
    <n v="25"/>
  </r>
  <r>
    <s v="Karla Alves"/>
    <x v="1"/>
    <d v="2024-05-07T00:00:00"/>
    <s v="No"/>
    <n v="5"/>
    <x v="1"/>
    <s v="No"/>
    <s v="-"/>
    <s v="No"/>
    <n v="0"/>
    <n v="0"/>
    <n v="5"/>
  </r>
  <r>
    <s v="Lucas Mendes"/>
    <x v="0"/>
    <d v="2024-05-08T00:00:00"/>
    <s v="Yes"/>
    <n v="15"/>
    <x v="2"/>
    <s v="Yes"/>
    <n v="30"/>
    <s v="Yes"/>
    <n v="20"/>
    <n v="20"/>
    <n v="45"/>
  </r>
  <r>
    <s v="Mônica Gomes"/>
    <x v="2"/>
    <d v="2024-05-09T00:00:00"/>
    <s v="No"/>
    <n v="10"/>
    <x v="2"/>
    <s v="No"/>
    <s v="-"/>
    <s v="Yes"/>
    <n v="20"/>
    <n v="12"/>
    <n v="18"/>
  </r>
  <r>
    <s v="Norberto Queiroz"/>
    <x v="1"/>
    <d v="2024-05-10T00:00:00"/>
    <s v="Yes"/>
    <n v="5"/>
    <x v="0"/>
    <s v="No"/>
    <s v="-"/>
    <s v="No"/>
    <n v="0"/>
    <n v="2"/>
    <n v="3"/>
  </r>
  <r>
    <s v="Otávio Barros"/>
    <x v="0"/>
    <d v="2024-05-11T00:00:00"/>
    <s v="No"/>
    <n v="15"/>
    <x v="1"/>
    <s v="Yes"/>
    <n v="30"/>
    <s v="Yes"/>
    <n v="20"/>
    <n v="5"/>
    <n v="60"/>
  </r>
  <r>
    <s v="Paula Vieira"/>
    <x v="2"/>
    <d v="2024-05-12T00:00:00"/>
    <s v="Yes"/>
    <n v="10"/>
    <x v="0"/>
    <s v="No"/>
    <s v="-"/>
    <s v="Yes"/>
    <n v="20"/>
    <n v="10"/>
    <n v="20"/>
  </r>
  <r>
    <s v="Quentin Ramos"/>
    <x v="1"/>
    <d v="2024-05-13T00:00:00"/>
    <s v="No"/>
    <n v="5"/>
    <x v="2"/>
    <s v="No"/>
    <s v="-"/>
    <s v="No"/>
    <n v="0"/>
    <n v="0"/>
    <n v="5"/>
  </r>
  <r>
    <s v="Raquel Novaes"/>
    <x v="0"/>
    <d v="2024-05-14T00:00:00"/>
    <s v="Yes"/>
    <n v="15"/>
    <x v="0"/>
    <s v="Yes"/>
    <n v="30"/>
    <s v="Yes"/>
    <n v="20"/>
    <n v="3"/>
    <n v="62"/>
  </r>
  <r>
    <s v="Samantha Lopes"/>
    <x v="2"/>
    <d v="2024-05-15T00:00:00"/>
    <s v="No"/>
    <n v="10"/>
    <x v="1"/>
    <s v="No"/>
    <s v="-"/>
    <s v="Yes"/>
    <n v="20"/>
    <n v="15"/>
    <n v="15"/>
  </r>
  <r>
    <s v="Tiago Martins"/>
    <x v="1"/>
    <d v="2024-05-16T00:00:00"/>
    <s v="Yes"/>
    <n v="5"/>
    <x v="0"/>
    <s v="No"/>
    <s v="-"/>
    <s v="No"/>
    <n v="0"/>
    <n v="1"/>
    <n v="4"/>
  </r>
  <r>
    <s v="Ulysses Guimarães"/>
    <x v="0"/>
    <d v="2024-05-17T00:00:00"/>
    <s v="No"/>
    <n v="15"/>
    <x v="2"/>
    <s v="Yes"/>
    <n v="30"/>
    <s v="Yes"/>
    <n v="20"/>
    <n v="7"/>
    <n v="58"/>
  </r>
  <r>
    <s v="Vanessa Silva"/>
    <x v="2"/>
    <d v="2024-05-18T00:00:00"/>
    <s v="Yes"/>
    <n v="10"/>
    <x v="0"/>
    <s v="No"/>
    <s v="-"/>
    <s v="Yes"/>
    <n v="20"/>
    <n v="10"/>
    <n v="20"/>
  </r>
  <r>
    <s v="William Carneiro"/>
    <x v="1"/>
    <d v="2024-05-19T00:00:00"/>
    <s v="No"/>
    <n v="5"/>
    <x v="1"/>
    <s v="No"/>
    <s v="-"/>
    <s v="No"/>
    <n v="0"/>
    <n v="0"/>
    <n v="5"/>
  </r>
  <r>
    <s v="Ximena Rocha"/>
    <x v="0"/>
    <d v="2024-05-20T00:00:00"/>
    <s v="Yes"/>
    <n v="15"/>
    <x v="0"/>
    <s v="Yes"/>
    <n v="30"/>
    <s v="Yes"/>
    <n v="20"/>
    <n v="20"/>
    <n v="45"/>
  </r>
  <r>
    <s v="Yasmin Figueiredo"/>
    <x v="2"/>
    <d v="2024-05-21T00:00:00"/>
    <s v="No"/>
    <n v="10"/>
    <x v="2"/>
    <s v="No"/>
    <s v="-"/>
    <s v="Yes"/>
    <n v="20"/>
    <n v="15"/>
    <n v="15"/>
  </r>
  <r>
    <s v="Zara Cunha"/>
    <x v="1"/>
    <d v="2024-05-22T00:00:00"/>
    <s v="Yes"/>
    <n v="5"/>
    <x v="0"/>
    <s v="No"/>
    <s v="-"/>
    <s v="No"/>
    <n v="0"/>
    <n v="1"/>
    <n v="4"/>
  </r>
  <r>
    <s v="Alan Teixeira"/>
    <x v="0"/>
    <d v="2024-05-23T00:00:00"/>
    <s v="No"/>
    <n v="15"/>
    <x v="1"/>
    <s v="Yes"/>
    <n v="30"/>
    <s v="Yes"/>
    <n v="20"/>
    <n v="3"/>
    <n v="62"/>
  </r>
  <r>
    <s v="Bárbara Oliveira"/>
    <x v="2"/>
    <d v="2024-05-24T00:00:00"/>
    <s v="Yes"/>
    <n v="10"/>
    <x v="0"/>
    <s v="No"/>
    <s v="-"/>
    <s v="Yes"/>
    <n v="20"/>
    <n v="10"/>
    <n v="20"/>
  </r>
  <r>
    <s v="Carlos Junqueira"/>
    <x v="1"/>
    <d v="2024-05-25T00:00:00"/>
    <s v="No"/>
    <n v="5"/>
    <x v="2"/>
    <s v="No"/>
    <s v="-"/>
    <s v="No"/>
    <n v="0"/>
    <n v="0"/>
    <n v="5"/>
  </r>
  <r>
    <s v="Daniela Moura"/>
    <x v="0"/>
    <d v="2024-05-26T00:00:00"/>
    <s v="Yes"/>
    <n v="15"/>
    <x v="0"/>
    <s v="Yes"/>
    <n v="30"/>
    <s v="Yes"/>
    <n v="20"/>
    <n v="5"/>
    <n v="60"/>
  </r>
  <r>
    <s v="Eduardo Lima"/>
    <x v="2"/>
    <d v="2024-05-27T00:00:00"/>
    <s v="No"/>
    <n v="10"/>
    <x v="1"/>
    <s v="No"/>
    <s v="-"/>
    <s v="Yes"/>
    <n v="20"/>
    <n v="15"/>
    <n v="15"/>
  </r>
  <r>
    <s v="Fabiana Araújo"/>
    <x v="1"/>
    <d v="2024-05-28T00:00:00"/>
    <s v="Yes"/>
    <n v="5"/>
    <x v="0"/>
    <s v="No"/>
    <s v="-"/>
    <s v="No"/>
    <n v="0"/>
    <n v="1"/>
    <n v="4"/>
  </r>
  <r>
    <s v="Geraldo Ribeiro"/>
    <x v="0"/>
    <d v="2024-05-29T00:00:00"/>
    <s v="No"/>
    <n v="15"/>
    <x v="2"/>
    <s v="Yes"/>
    <n v="30"/>
    <s v="Yes"/>
    <n v="20"/>
    <n v="20"/>
    <n v="45"/>
  </r>
  <r>
    <s v="Héctor Vargas"/>
    <x v="2"/>
    <d v="2024-05-30T00:00:00"/>
    <s v="Yes"/>
    <n v="10"/>
    <x v="2"/>
    <s v="No"/>
    <s v="-"/>
    <s v="Yes"/>
    <n v="20"/>
    <n v="15"/>
    <n v="15"/>
  </r>
  <r>
    <s v="Isabela Fonseca"/>
    <x v="1"/>
    <d v="2024-05-31T00:00:00"/>
    <s v="No"/>
    <n v="5"/>
    <x v="1"/>
    <s v="No"/>
    <s v="-"/>
    <s v="No"/>
    <n v="0"/>
    <n v="0"/>
    <n v="5"/>
  </r>
  <r>
    <s v="João Pedro Almeida"/>
    <x v="0"/>
    <d v="2024-06-01T00:00:00"/>
    <s v="Yes"/>
    <n v="15"/>
    <x v="0"/>
    <s v="Yes"/>
    <n v="30"/>
    <s v="Yes"/>
    <n v="20"/>
    <n v="7"/>
    <n v="58"/>
  </r>
  <r>
    <s v="Klara Costa"/>
    <x v="2"/>
    <d v="2024-06-02T00:00:00"/>
    <s v="No"/>
    <n v="10"/>
    <x v="1"/>
    <s v="No"/>
    <s v="-"/>
    <s v="Yes"/>
    <n v="20"/>
    <n v="10"/>
    <n v="20"/>
  </r>
  <r>
    <s v="Luciana Mendes"/>
    <x v="1"/>
    <d v="2024-06-03T00:00:00"/>
    <s v="Yes"/>
    <n v="5"/>
    <x v="2"/>
    <s v="No"/>
    <s v="-"/>
    <s v="No"/>
    <n v="0"/>
    <n v="1"/>
    <n v="4"/>
  </r>
  <r>
    <s v="Marcelo Gouveia"/>
    <x v="0"/>
    <d v="2024-06-04T00:00:00"/>
    <s v="No"/>
    <n v="15"/>
    <x v="0"/>
    <s v="Yes"/>
    <n v="30"/>
    <s v="Yes"/>
    <n v="20"/>
    <n v="15"/>
    <n v="50"/>
  </r>
  <r>
    <s v="Nívea Borges"/>
    <x v="2"/>
    <d v="2024-06-05T00:00:00"/>
    <s v="Yes"/>
    <n v="10"/>
    <x v="0"/>
    <s v="No"/>
    <s v="-"/>
    <s v="Yes"/>
    <n v="20"/>
    <n v="5"/>
    <n v="25"/>
  </r>
  <r>
    <s v="Oscar Nogueira"/>
    <x v="1"/>
    <d v="2024-06-06T00:00:00"/>
    <s v="No"/>
    <n v="5"/>
    <x v="1"/>
    <s v="No"/>
    <s v="-"/>
    <s v="No"/>
    <n v="0"/>
    <n v="0"/>
    <n v="5"/>
  </r>
  <r>
    <s v="Patrícia Alves"/>
    <x v="0"/>
    <d v="2024-06-07T00:00:00"/>
    <s v="Yes"/>
    <n v="15"/>
    <x v="2"/>
    <s v="Yes"/>
    <n v="30"/>
    <s v="Yes"/>
    <n v="20"/>
    <n v="20"/>
    <n v="45"/>
  </r>
  <r>
    <s v="Rafaela Silva"/>
    <x v="2"/>
    <d v="2024-06-08T00:00:00"/>
    <s v="No"/>
    <n v="10"/>
    <x v="2"/>
    <s v="No"/>
    <s v="-"/>
    <s v="Yes"/>
    <n v="20"/>
    <n v="12"/>
    <n v="18"/>
  </r>
  <r>
    <s v="Samantha Moraes"/>
    <x v="1"/>
    <d v="2024-06-09T00:00:00"/>
    <s v="Yes"/>
    <n v="5"/>
    <x v="0"/>
    <s v="No"/>
    <s v="-"/>
    <s v="No"/>
    <n v="0"/>
    <n v="2"/>
    <n v="3"/>
  </r>
  <r>
    <s v="Tatiana Rocha"/>
    <x v="1"/>
    <d v="2024-06-10T00:00:00"/>
    <s v="Yes"/>
    <n v="5"/>
    <x v="0"/>
    <s v="No"/>
    <s v="-"/>
    <s v="No"/>
    <n v="0"/>
    <n v="0"/>
    <n v="5"/>
  </r>
  <r>
    <s v="Ulisses Tavares"/>
    <x v="0"/>
    <d v="2024-06-11T00:00:00"/>
    <s v="No"/>
    <n v="15"/>
    <x v="2"/>
    <s v="Yes"/>
    <n v="30"/>
    <s v="Yes"/>
    <n v="20"/>
    <n v="7"/>
    <n v="58"/>
  </r>
  <r>
    <s v="Víctor Lemos"/>
    <x v="2"/>
    <d v="2024-06-12T00:00:00"/>
    <s v="Yes"/>
    <n v="10"/>
    <x v="1"/>
    <s v="No"/>
    <s v="-"/>
    <s v="Yes"/>
    <n v="20"/>
    <n v="10"/>
    <n v="20"/>
  </r>
  <r>
    <s v="Wilma Barros"/>
    <x v="1"/>
    <d v="2024-06-13T00:00:00"/>
    <s v="No"/>
    <n v="5"/>
    <x v="2"/>
    <s v="No"/>
    <s v="-"/>
    <s v="No"/>
    <n v="0"/>
    <n v="1"/>
    <n v="4"/>
  </r>
  <r>
    <s v="Xavier Nascimento"/>
    <x v="0"/>
    <d v="2024-06-14T00:00:00"/>
    <s v="Yes"/>
    <n v="15"/>
    <x v="0"/>
    <s v="Yes"/>
    <n v="30"/>
    <s v="Yes"/>
    <n v="20"/>
    <n v="15"/>
    <n v="50"/>
  </r>
  <r>
    <s v="Yago Pereira"/>
    <x v="2"/>
    <d v="2024-06-15T00:00:00"/>
    <s v="No"/>
    <n v="10"/>
    <x v="0"/>
    <s v="No"/>
    <s v="-"/>
    <s v="Yes"/>
    <n v="20"/>
    <n v="5"/>
    <n v="25"/>
  </r>
  <r>
    <s v="Zilda Ferreira"/>
    <x v="1"/>
    <d v="2024-06-16T00:00:00"/>
    <s v="Yes"/>
    <n v="5"/>
    <x v="1"/>
    <s v="No"/>
    <s v="-"/>
    <s v="No"/>
    <n v="0"/>
    <n v="0"/>
    <n v="5"/>
  </r>
  <r>
    <s v="Amanda Lopes"/>
    <x v="0"/>
    <d v="2024-06-17T00:00:00"/>
    <s v="No"/>
    <n v="15"/>
    <x v="2"/>
    <s v="Yes"/>
    <n v="30"/>
    <s v="Yes"/>
    <n v="20"/>
    <n v="20"/>
    <n v="45"/>
  </r>
  <r>
    <s v="Bruno Miranda"/>
    <x v="2"/>
    <d v="2024-06-18T00:00:00"/>
    <s v="Yes"/>
    <n v="10"/>
    <x v="2"/>
    <s v="No"/>
    <s v="-"/>
    <s v="Yes"/>
    <n v="20"/>
    <n v="12"/>
    <n v="18"/>
  </r>
  <r>
    <s v="Célia Torres"/>
    <x v="1"/>
    <d v="2024-06-19T00:00:00"/>
    <s v="No"/>
    <n v="5"/>
    <x v="0"/>
    <s v="No"/>
    <s v="-"/>
    <s v="No"/>
    <n v="0"/>
    <n v="2"/>
    <n v="3"/>
  </r>
  <r>
    <s v="Diogo Souza"/>
    <x v="0"/>
    <d v="2024-06-20T00:00:00"/>
    <s v="Yes"/>
    <n v="15"/>
    <x v="1"/>
    <s v="Yes"/>
    <n v="30"/>
    <s v="Yes"/>
    <n v="20"/>
    <n v="5"/>
    <n v="60"/>
  </r>
  <r>
    <s v="Elisa Castro"/>
    <x v="2"/>
    <d v="2024-06-21T00:00:00"/>
    <s v="No"/>
    <n v="10"/>
    <x v="0"/>
    <s v="No"/>
    <s v="-"/>
    <s v="Yes"/>
    <n v="20"/>
    <n v="10"/>
    <n v="20"/>
  </r>
  <r>
    <s v="Fátima Lima"/>
    <x v="1"/>
    <d v="2024-06-22T00:00:00"/>
    <s v="Yes"/>
    <n v="5"/>
    <x v="2"/>
    <s v="No"/>
    <s v="-"/>
    <s v="No"/>
    <n v="0"/>
    <n v="0"/>
    <n v="5"/>
  </r>
  <r>
    <s v="Geraldo Ribeiro"/>
    <x v="0"/>
    <d v="2024-06-23T00:00:00"/>
    <s v="No"/>
    <n v="15"/>
    <x v="0"/>
    <s v="Yes"/>
    <n v="30"/>
    <s v="Yes"/>
    <n v="20"/>
    <n v="3"/>
    <n v="62"/>
  </r>
  <r>
    <s v="Hélio Martins"/>
    <x v="2"/>
    <d v="2024-06-24T00:00:00"/>
    <s v="Yes"/>
    <n v="10"/>
    <x v="1"/>
    <s v="No"/>
    <s v="-"/>
    <s v="Yes"/>
    <n v="20"/>
    <n v="15"/>
    <n v="15"/>
  </r>
  <r>
    <s v="Íris Santos"/>
    <x v="1"/>
    <d v="2024-06-25T00:00:00"/>
    <s v="No"/>
    <n v="5"/>
    <x v="0"/>
    <s v="No"/>
    <s v="-"/>
    <s v="No"/>
    <n v="0"/>
    <n v="1"/>
    <n v="4"/>
  </r>
  <r>
    <s v="João Marcelo"/>
    <x v="0"/>
    <d v="2024-06-26T00:00:00"/>
    <s v="Yes"/>
    <n v="15"/>
    <x v="2"/>
    <s v="Yes"/>
    <n v="30"/>
    <s v="Yes"/>
    <n v="20"/>
    <n v="7"/>
    <n v="58"/>
  </r>
  <r>
    <s v="Larissa Gomes"/>
    <x v="2"/>
    <d v="2024-06-27T00:00:00"/>
    <s v="No"/>
    <n v="10"/>
    <x v="0"/>
    <s v="No"/>
    <s v="-"/>
    <s v="Yes"/>
    <n v="20"/>
    <n v="10"/>
    <n v="20"/>
  </r>
  <r>
    <s v="Márcio Silva"/>
    <x v="1"/>
    <d v="2024-06-28T00:00:00"/>
    <s v="Yes"/>
    <n v="5"/>
    <x v="1"/>
    <s v="No"/>
    <s v="-"/>
    <s v="No"/>
    <n v="0"/>
    <n v="0"/>
    <n v="5"/>
  </r>
  <r>
    <s v="Nadia Costa"/>
    <x v="0"/>
    <d v="2024-06-29T00:00:00"/>
    <s v="No"/>
    <n v="15"/>
    <x v="0"/>
    <s v="Yes"/>
    <n v="30"/>
    <s v="Yes"/>
    <n v="20"/>
    <n v="20"/>
    <n v="45"/>
  </r>
  <r>
    <s v="Oscar Almeida"/>
    <x v="2"/>
    <d v="2024-06-30T00:00:00"/>
    <s v="Yes"/>
    <n v="10"/>
    <x v="2"/>
    <s v="No"/>
    <s v="-"/>
    <s v="Yes"/>
    <n v="20"/>
    <n v="15"/>
    <n v="15"/>
  </r>
  <r>
    <s v="Patricia Soares"/>
    <x v="1"/>
    <d v="2024-07-01T00:00:00"/>
    <s v="No"/>
    <n v="5"/>
    <x v="0"/>
    <s v="No"/>
    <s v="-"/>
    <s v="No"/>
    <n v="0"/>
    <n v="1"/>
    <n v="4"/>
  </r>
  <r>
    <s v="Quênia Barros"/>
    <x v="0"/>
    <d v="2024-07-02T00:00:00"/>
    <s v="Yes"/>
    <n v="15"/>
    <x v="1"/>
    <s v="Yes"/>
    <n v="30"/>
    <s v="Yes"/>
    <n v="20"/>
    <n v="3"/>
    <n v="62"/>
  </r>
  <r>
    <s v="Rafael Torres"/>
    <x v="2"/>
    <d v="2024-07-03T00:00:00"/>
    <s v="No"/>
    <n v="10"/>
    <x v="0"/>
    <s v="No"/>
    <s v="-"/>
    <s v="Yes"/>
    <n v="20"/>
    <n v="10"/>
    <n v="20"/>
  </r>
  <r>
    <s v="Silvia Nascimento"/>
    <x v="1"/>
    <d v="2024-07-04T00:00:00"/>
    <s v="Yes"/>
    <n v="5"/>
    <x v="2"/>
    <s v="No"/>
    <s v="-"/>
    <s v="No"/>
    <n v="0"/>
    <n v="0"/>
    <n v="5"/>
  </r>
  <r>
    <s v="Tiago Mendes"/>
    <x v="0"/>
    <d v="2024-07-05T00:00:00"/>
    <s v="No"/>
    <n v="15"/>
    <x v="0"/>
    <s v="Yes"/>
    <n v="30"/>
    <s v="Yes"/>
    <n v="20"/>
    <n v="15"/>
    <n v="50"/>
  </r>
  <r>
    <s v="Ursula Silva"/>
    <x v="2"/>
    <d v="2024-07-06T00:00:00"/>
    <s v="Yes"/>
    <n v="10"/>
    <x v="1"/>
    <s v="No"/>
    <s v="-"/>
    <s v="Yes"/>
    <n v="20"/>
    <n v="15"/>
    <n v="15"/>
  </r>
  <r>
    <s v="Vanessa Moraes"/>
    <x v="1"/>
    <d v="2024-07-07T00:00:00"/>
    <s v="No"/>
    <n v="5"/>
    <x v="0"/>
    <s v="No"/>
    <s v="-"/>
    <s v="No"/>
    <n v="0"/>
    <n v="1"/>
    <n v="4"/>
  </r>
  <r>
    <s v="Waldir Junior"/>
    <x v="0"/>
    <d v="2024-07-08T00:00:00"/>
    <s v="Yes"/>
    <n v="15"/>
    <x v="2"/>
    <s v="Yes"/>
    <n v="30"/>
    <s v="Yes"/>
    <n v="20"/>
    <n v="7"/>
    <n v="58"/>
  </r>
  <r>
    <s v="Xavier Lopes"/>
    <x v="2"/>
    <d v="2024-07-09T00:00:00"/>
    <s v="No"/>
    <n v="10"/>
    <x v="0"/>
    <s v="No"/>
    <s v="-"/>
    <s v="Yes"/>
    <n v="20"/>
    <n v="10"/>
    <n v="20"/>
  </r>
  <r>
    <s v="Yolanda Freitas"/>
    <x v="1"/>
    <d v="2024-07-10T00:00:00"/>
    <s v="Yes"/>
    <n v="5"/>
    <x v="0"/>
    <s v="No"/>
    <s v="-"/>
    <s v="No"/>
    <n v="0"/>
    <n v="0"/>
    <n v="5"/>
  </r>
  <r>
    <s v="Zacarias Nunes"/>
    <x v="0"/>
    <d v="2024-07-11T00:00:00"/>
    <s v="No"/>
    <n v="15"/>
    <x v="2"/>
    <s v="Yes"/>
    <n v="30"/>
    <s v="Yes"/>
    <n v="20"/>
    <n v="7"/>
    <n v="58"/>
  </r>
  <r>
    <s v="Ana Clara Barreto"/>
    <x v="2"/>
    <d v="2024-07-12T00:00:00"/>
    <s v="Yes"/>
    <n v="10"/>
    <x v="1"/>
    <s v="No"/>
    <s v="-"/>
    <s v="Yes"/>
    <n v="20"/>
    <n v="10"/>
    <n v="20"/>
  </r>
  <r>
    <s v="Bruno Henrique"/>
    <x v="1"/>
    <d v="2024-07-13T00:00:00"/>
    <s v="No"/>
    <n v="5"/>
    <x v="2"/>
    <s v="No"/>
    <s v="-"/>
    <s v="No"/>
    <n v="0"/>
    <n v="1"/>
    <n v="4"/>
  </r>
  <r>
    <s v="Carlos Eduardo"/>
    <x v="0"/>
    <d v="2024-07-14T00:00:00"/>
    <s v="Yes"/>
    <n v="15"/>
    <x v="0"/>
    <s v="Yes"/>
    <n v="30"/>
    <s v="Yes"/>
    <n v="20"/>
    <n v="15"/>
    <n v="50"/>
  </r>
  <r>
    <s v="Débora Lima"/>
    <x v="2"/>
    <d v="2024-07-15T00:00:00"/>
    <s v="No"/>
    <n v="10"/>
    <x v="0"/>
    <s v="No"/>
    <s v="-"/>
    <s v="Yes"/>
    <n v="20"/>
    <n v="5"/>
    <n v="25"/>
  </r>
  <r>
    <s v="Elisa Neves"/>
    <x v="1"/>
    <d v="2024-07-16T00:00:00"/>
    <s v="Yes"/>
    <n v="5"/>
    <x v="1"/>
    <s v="No"/>
    <s v="-"/>
    <s v="No"/>
    <n v="0"/>
    <n v="0"/>
    <n v="5"/>
  </r>
  <r>
    <s v="Fabiano Gomes"/>
    <x v="0"/>
    <d v="2024-07-17T00:00:00"/>
    <s v="No"/>
    <n v="15"/>
    <x v="2"/>
    <s v="Yes"/>
    <n v="30"/>
    <s v="Yes"/>
    <n v="20"/>
    <n v="20"/>
    <n v="45"/>
  </r>
  <r>
    <s v="Gisele Oliveira"/>
    <x v="2"/>
    <d v="2024-07-18T00:00:00"/>
    <s v="Yes"/>
    <n v="10"/>
    <x v="2"/>
    <s v="No"/>
    <s v="-"/>
    <s v="Yes"/>
    <n v="20"/>
    <n v="12"/>
    <n v="18"/>
  </r>
  <r>
    <s v="Héctor Silva"/>
    <x v="1"/>
    <d v="2024-07-19T00:00:00"/>
    <s v="No"/>
    <n v="5"/>
    <x v="0"/>
    <s v="No"/>
    <s v="-"/>
    <s v="No"/>
    <n v="0"/>
    <n v="2"/>
    <n v="3"/>
  </r>
  <r>
    <s v="Igor Martins"/>
    <x v="0"/>
    <d v="2024-07-20T00:00:00"/>
    <s v="Yes"/>
    <n v="15"/>
    <x v="1"/>
    <s v="Yes"/>
    <n v="30"/>
    <s v="Yes"/>
    <n v="20"/>
    <n v="5"/>
    <n v="60"/>
  </r>
  <r>
    <s v="Joana Figueiredo"/>
    <x v="2"/>
    <d v="2024-07-21T00:00:00"/>
    <s v="No"/>
    <n v="10"/>
    <x v="0"/>
    <s v="No"/>
    <s v="-"/>
    <s v="Yes"/>
    <n v="20"/>
    <n v="10"/>
    <n v="20"/>
  </r>
  <r>
    <s v="Kleber Machado"/>
    <x v="1"/>
    <d v="2024-07-22T00:00:00"/>
    <s v="Yes"/>
    <n v="5"/>
    <x v="2"/>
    <s v="No"/>
    <s v="-"/>
    <s v="No"/>
    <n v="0"/>
    <n v="0"/>
    <n v="5"/>
  </r>
  <r>
    <s v="Luciana Santos"/>
    <x v="0"/>
    <d v="2024-07-23T00:00:00"/>
    <s v="No"/>
    <n v="15"/>
    <x v="0"/>
    <s v="Yes"/>
    <n v="30"/>
    <s v="Yes"/>
    <n v="20"/>
    <n v="3"/>
    <n v="62"/>
  </r>
  <r>
    <s v="Marcos Teixeira"/>
    <x v="2"/>
    <d v="2024-07-24T00:00:00"/>
    <s v="Yes"/>
    <n v="10"/>
    <x v="1"/>
    <s v="No"/>
    <s v="-"/>
    <s v="Yes"/>
    <n v="20"/>
    <n v="15"/>
    <n v="15"/>
  </r>
  <r>
    <s v="Natalia Costa"/>
    <x v="1"/>
    <d v="2024-07-25T00:00:00"/>
    <s v="No"/>
    <n v="5"/>
    <x v="0"/>
    <s v="No"/>
    <s v="-"/>
    <s v="No"/>
    <n v="0"/>
    <n v="1"/>
    <n v="4"/>
  </r>
  <r>
    <s v="Oscar Ribeiro"/>
    <x v="0"/>
    <d v="2024-07-26T00:00:00"/>
    <s v="Yes"/>
    <n v="15"/>
    <x v="2"/>
    <s v="Yes"/>
    <n v="30"/>
    <s v="Yes"/>
    <n v="20"/>
    <n v="7"/>
    <n v="58"/>
  </r>
  <r>
    <s v="Patricia Almeida"/>
    <x v="2"/>
    <d v="2024-07-27T00:00:00"/>
    <s v="No"/>
    <n v="10"/>
    <x v="0"/>
    <s v="No"/>
    <s v="-"/>
    <s v="Yes"/>
    <n v="20"/>
    <n v="10"/>
    <n v="20"/>
  </r>
  <r>
    <s v="Quirino Junior"/>
    <x v="1"/>
    <d v="2024-07-28T00:00:00"/>
    <s v="Yes"/>
    <n v="5"/>
    <x v="1"/>
    <s v="No"/>
    <s v="-"/>
    <s v="No"/>
    <n v="0"/>
    <n v="0"/>
    <n v="5"/>
  </r>
  <r>
    <s v="Renata Machado"/>
    <x v="0"/>
    <d v="2024-07-29T00:00:00"/>
    <s v="No"/>
    <n v="15"/>
    <x v="0"/>
    <s v="Yes"/>
    <n v="30"/>
    <s v="Yes"/>
    <n v="20"/>
    <n v="20"/>
    <n v="45"/>
  </r>
  <r>
    <s v="Sônia Alves"/>
    <x v="2"/>
    <d v="2024-07-30T00:00:00"/>
    <s v="Yes"/>
    <n v="10"/>
    <x v="2"/>
    <s v="No"/>
    <s v="-"/>
    <s v="Yes"/>
    <n v="20"/>
    <n v="15"/>
    <n v="15"/>
  </r>
  <r>
    <s v="Tiago Nunes"/>
    <x v="1"/>
    <d v="2024-07-31T00:00:00"/>
    <s v="No"/>
    <n v="5"/>
    <x v="0"/>
    <s v="No"/>
    <s v="-"/>
    <s v="No"/>
    <n v="0"/>
    <n v="1"/>
    <n v="4"/>
  </r>
  <r>
    <s v="Ulysses Pereira"/>
    <x v="0"/>
    <d v="2024-08-01T00:00:00"/>
    <s v="Yes"/>
    <n v="15"/>
    <x v="1"/>
    <s v="Yes"/>
    <n v="30"/>
    <s v="Yes"/>
    <n v="20"/>
    <n v="3"/>
    <n v="62"/>
  </r>
  <r>
    <s v="Vanessa Lima"/>
    <x v="2"/>
    <d v="2024-08-02T00:00:00"/>
    <s v="No"/>
    <n v="10"/>
    <x v="0"/>
    <s v="No"/>
    <s v="-"/>
    <s v="Yes"/>
    <n v="20"/>
    <n v="10"/>
    <n v="20"/>
  </r>
  <r>
    <s v="Wagner Santos"/>
    <x v="1"/>
    <d v="2024-08-03T00:00:00"/>
    <s v="Yes"/>
    <n v="5"/>
    <x v="2"/>
    <s v="No"/>
    <s v="-"/>
    <s v="No"/>
    <n v="0"/>
    <n v="0"/>
    <n v="5"/>
  </r>
  <r>
    <s v="Xuxa Meneghel"/>
    <x v="0"/>
    <d v="2024-08-04T00:00:00"/>
    <s v="No"/>
    <n v="15"/>
    <x v="0"/>
    <s v="Yes"/>
    <n v="30"/>
    <s v="Yes"/>
    <n v="20"/>
    <n v="15"/>
    <n v="50"/>
  </r>
  <r>
    <s v="Yasmin Silva"/>
    <x v="2"/>
    <d v="2024-08-05T00:00:00"/>
    <s v="Yes"/>
    <n v="10"/>
    <x v="1"/>
    <s v="No"/>
    <s v="-"/>
    <s v="Yes"/>
    <n v="20"/>
    <n v="15"/>
    <n v="15"/>
  </r>
  <r>
    <s v="Zacarias de Souza"/>
    <x v="1"/>
    <d v="2024-08-06T00:00:00"/>
    <s v="No"/>
    <n v="5"/>
    <x v="0"/>
    <s v="No"/>
    <s v="-"/>
    <s v="No"/>
    <n v="0"/>
    <n v="1"/>
    <n v="4"/>
  </r>
  <r>
    <s v="André Lima"/>
    <x v="0"/>
    <d v="2024-08-07T00:00:00"/>
    <s v="Yes"/>
    <n v="15"/>
    <x v="2"/>
    <s v="Yes"/>
    <n v="30"/>
    <s v="Yes"/>
    <n v="20"/>
    <n v="7"/>
    <n v="58"/>
  </r>
  <r>
    <s v="Bianca Freitas"/>
    <x v="2"/>
    <d v="2024-08-08T00:00:00"/>
    <s v="No"/>
    <n v="10"/>
    <x v="0"/>
    <s v="No"/>
    <s v="-"/>
    <s v="Yes"/>
    <n v="20"/>
    <n v="10"/>
    <n v="20"/>
  </r>
  <r>
    <s v="Caio Mendes"/>
    <x v="1"/>
    <d v="2024-08-09T00:00:00"/>
    <s v="Yes"/>
    <n v="5"/>
    <x v="1"/>
    <s v="No"/>
    <s v="-"/>
    <s v="No"/>
    <n v="0"/>
    <n v="0"/>
    <n v="5"/>
  </r>
  <r>
    <s v="Daniela Moura"/>
    <x v="0"/>
    <d v="2024-08-10T00:00:00"/>
    <s v="No"/>
    <n v="15"/>
    <x v="0"/>
    <s v="Yes"/>
    <n v="30"/>
    <s v="Yes"/>
    <n v="20"/>
    <n v="20"/>
    <n v="45"/>
  </r>
  <r>
    <s v="Eduardo Costa"/>
    <x v="2"/>
    <d v="2024-08-11T00:00:00"/>
    <s v="Yes"/>
    <n v="10"/>
    <x v="2"/>
    <s v="No"/>
    <s v="-"/>
    <s v="Yes"/>
    <n v="20"/>
    <n v="15"/>
    <n v="15"/>
  </r>
  <r>
    <s v="Fernanda Gomes"/>
    <x v="1"/>
    <d v="2024-08-12T00:00:00"/>
    <s v="No"/>
    <n v="5"/>
    <x v="0"/>
    <s v="No"/>
    <s v="-"/>
    <s v="No"/>
    <n v="0"/>
    <n v="1"/>
    <n v="4"/>
  </r>
  <r>
    <s v="Guilherme Souza"/>
    <x v="0"/>
    <d v="2024-08-13T00:00:00"/>
    <s v="Yes"/>
    <n v="15"/>
    <x v="1"/>
    <s v="Yes"/>
    <n v="30"/>
    <s v="Yes"/>
    <n v="20"/>
    <n v="5"/>
    <n v="60"/>
  </r>
  <r>
    <s v="Helena Ribeiro"/>
    <x v="2"/>
    <d v="2024-08-14T00:00:00"/>
    <s v="No"/>
    <n v="10"/>
    <x v="0"/>
    <s v="No"/>
    <s v="-"/>
    <s v="Yes"/>
    <n v="20"/>
    <n v="10"/>
    <n v="20"/>
  </r>
  <r>
    <s v="Igor Santos"/>
    <x v="1"/>
    <d v="2024-08-15T00:00:00"/>
    <s v="Yes"/>
    <n v="5"/>
    <x v="2"/>
    <s v="No"/>
    <s v="-"/>
    <s v="No"/>
    <n v="0"/>
    <n v="0"/>
    <n v="5"/>
  </r>
  <r>
    <s v="João Carvalho"/>
    <x v="0"/>
    <d v="2024-08-16T00:00:00"/>
    <s v="No"/>
    <n v="15"/>
    <x v="0"/>
    <s v="Yes"/>
    <n v="30"/>
    <s v="Yes"/>
    <n v="20"/>
    <n v="3"/>
    <n v="62"/>
  </r>
  <r>
    <s v="Klara Fagundes"/>
    <x v="2"/>
    <d v="2024-08-17T00:00:00"/>
    <s v="Yes"/>
    <n v="10"/>
    <x v="1"/>
    <s v="No"/>
    <s v="-"/>
    <s v="Yes"/>
    <n v="20"/>
    <n v="15"/>
    <n v="15"/>
  </r>
  <r>
    <s v="Lúcia Mendonça"/>
    <x v="1"/>
    <d v="2024-08-18T00:00:00"/>
    <s v="No"/>
    <n v="5"/>
    <x v="0"/>
    <s v="No"/>
    <s v="-"/>
    <s v="No"/>
    <n v="0"/>
    <n v="1"/>
    <n v="4"/>
  </r>
  <r>
    <s v="Marcelo Novaes"/>
    <x v="1"/>
    <d v="2024-08-19T00:00:00"/>
    <s v="Yes"/>
    <n v="5"/>
    <x v="0"/>
    <s v="No"/>
    <s v="-"/>
    <s v="No"/>
    <n v="0"/>
    <n v="0"/>
    <n v="5"/>
  </r>
  <r>
    <s v="Nina Pacheco"/>
    <x v="0"/>
    <d v="2024-08-20T00:00:00"/>
    <s v="No"/>
    <n v="15"/>
    <x v="2"/>
    <s v="Yes"/>
    <n v="30"/>
    <s v="Yes"/>
    <n v="20"/>
    <n v="7"/>
    <n v="58"/>
  </r>
  <r>
    <s v="Olívia Rios"/>
    <x v="2"/>
    <d v="2024-08-21T00:00:00"/>
    <s v="Yes"/>
    <n v="10"/>
    <x v="1"/>
    <s v="No"/>
    <s v="-"/>
    <s v="Yes"/>
    <n v="20"/>
    <n v="10"/>
    <n v="20"/>
  </r>
  <r>
    <s v="Paulo Quintana"/>
    <x v="1"/>
    <d v="2024-08-22T00:00:00"/>
    <s v="No"/>
    <n v="5"/>
    <x v="2"/>
    <s v="No"/>
    <s v="-"/>
    <s v="No"/>
    <n v="0"/>
    <n v="1"/>
    <n v="4"/>
  </r>
  <r>
    <s v="Raquel Domingos"/>
    <x v="0"/>
    <d v="2024-08-23T00:00:00"/>
    <s v="Yes"/>
    <n v="15"/>
    <x v="0"/>
    <s v="Yes"/>
    <n v="30"/>
    <s v="Yes"/>
    <n v="20"/>
    <n v="15"/>
    <n v="50"/>
  </r>
  <r>
    <s v="Samuel Viana"/>
    <x v="2"/>
    <d v="2024-08-24T00:00:00"/>
    <s v="No"/>
    <n v="10"/>
    <x v="0"/>
    <s v="No"/>
    <s v="-"/>
    <s v="Yes"/>
    <n v="20"/>
    <n v="5"/>
    <n v="25"/>
  </r>
  <r>
    <s v="Tatiane Rocha"/>
    <x v="1"/>
    <d v="2024-08-25T00:00:00"/>
    <s v="Yes"/>
    <n v="5"/>
    <x v="1"/>
    <s v="No"/>
    <s v="-"/>
    <s v="No"/>
    <n v="0"/>
    <n v="0"/>
    <n v="5"/>
  </r>
  <r>
    <s v="Ulysses Farias"/>
    <x v="0"/>
    <d v="2024-08-26T00:00:00"/>
    <s v="No"/>
    <n v="15"/>
    <x v="2"/>
    <s v="Yes"/>
    <n v="30"/>
    <s v="Yes"/>
    <n v="20"/>
    <n v="20"/>
    <n v="45"/>
  </r>
  <r>
    <s v="Vanessa Moreira"/>
    <x v="2"/>
    <d v="2024-08-27T00:00:00"/>
    <s v="Yes"/>
    <n v="10"/>
    <x v="2"/>
    <s v="No"/>
    <s v="-"/>
    <s v="Yes"/>
    <n v="20"/>
    <n v="12"/>
    <n v="18"/>
  </r>
  <r>
    <s v="William Carvalho"/>
    <x v="1"/>
    <d v="2024-08-28T00:00:00"/>
    <s v="No"/>
    <n v="5"/>
    <x v="0"/>
    <s v="No"/>
    <s v="-"/>
    <s v="No"/>
    <n v="0"/>
    <n v="2"/>
    <n v="3"/>
  </r>
  <r>
    <s v="Ximena Barros"/>
    <x v="0"/>
    <d v="2024-08-29T00:00:00"/>
    <s v="Yes"/>
    <n v="15"/>
    <x v="1"/>
    <s v="Yes"/>
    <n v="30"/>
    <s v="Yes"/>
    <n v="20"/>
    <n v="5"/>
    <n v="60"/>
  </r>
  <r>
    <s v="Yara Machado"/>
    <x v="2"/>
    <d v="2024-08-30T00:00:00"/>
    <s v="No"/>
    <n v="10"/>
    <x v="0"/>
    <s v="No"/>
    <s v="-"/>
    <s v="Yes"/>
    <n v="20"/>
    <n v="10"/>
    <n v="20"/>
  </r>
  <r>
    <s v="Zacarias Costa"/>
    <x v="1"/>
    <d v="2024-08-31T00:00:00"/>
    <s v="Yes"/>
    <n v="5"/>
    <x v="2"/>
    <s v="No"/>
    <s v="-"/>
    <s v="No"/>
    <n v="0"/>
    <n v="0"/>
    <n v="5"/>
  </r>
  <r>
    <s v="André Lopes"/>
    <x v="0"/>
    <d v="2024-09-01T00:00:00"/>
    <s v="No"/>
    <n v="15"/>
    <x v="0"/>
    <s v="Yes"/>
    <n v="30"/>
    <s v="Yes"/>
    <n v="20"/>
    <n v="3"/>
    <n v="62"/>
  </r>
  <r>
    <s v="Beatriz Souza"/>
    <x v="2"/>
    <d v="2024-09-02T00:00:00"/>
    <s v="Yes"/>
    <n v="10"/>
    <x v="1"/>
    <s v="No"/>
    <s v="-"/>
    <s v="Yes"/>
    <n v="20"/>
    <n v="15"/>
    <n v="15"/>
  </r>
  <r>
    <s v="Caio Pereira"/>
    <x v="1"/>
    <d v="2024-09-03T00:00:00"/>
    <s v="No"/>
    <n v="5"/>
    <x v="0"/>
    <s v="No"/>
    <s v="-"/>
    <s v="No"/>
    <n v="0"/>
    <n v="1"/>
    <n v="4"/>
  </r>
  <r>
    <s v="Daniela Araújo"/>
    <x v="0"/>
    <d v="2024-09-04T00:00:00"/>
    <s v="Yes"/>
    <n v="15"/>
    <x v="2"/>
    <s v="Yes"/>
    <n v="30"/>
    <s v="Yes"/>
    <n v="20"/>
    <n v="7"/>
    <n v="58"/>
  </r>
  <r>
    <s v="Eduardo Santos"/>
    <x v="2"/>
    <d v="2024-09-05T00:00:00"/>
    <s v="No"/>
    <n v="10"/>
    <x v="0"/>
    <s v="No"/>
    <s v="-"/>
    <s v="Yes"/>
    <n v="20"/>
    <n v="10"/>
    <n v="20"/>
  </r>
  <r>
    <s v="Fernanda Lima"/>
    <x v="1"/>
    <d v="2024-09-06T00:00:00"/>
    <s v="Yes"/>
    <n v="5"/>
    <x v="1"/>
    <s v="No"/>
    <s v="-"/>
    <s v="No"/>
    <n v="0"/>
    <n v="0"/>
    <n v="5"/>
  </r>
  <r>
    <s v="Gabriel Teixeira"/>
    <x v="0"/>
    <d v="2024-09-07T00:00:00"/>
    <s v="No"/>
    <n v="15"/>
    <x v="0"/>
    <s v="Yes"/>
    <n v="30"/>
    <s v="Yes"/>
    <n v="20"/>
    <n v="20"/>
    <n v="45"/>
  </r>
  <r>
    <s v="Helena Ribeiro"/>
    <x v="2"/>
    <d v="2024-09-08T00:00:00"/>
    <s v="Yes"/>
    <n v="10"/>
    <x v="2"/>
    <s v="No"/>
    <s v="-"/>
    <s v="Yes"/>
    <n v="20"/>
    <n v="15"/>
    <n v="15"/>
  </r>
  <r>
    <s v="Igor Mendes"/>
    <x v="1"/>
    <d v="2024-09-09T00:00:00"/>
    <s v="No"/>
    <n v="5"/>
    <x v="0"/>
    <s v="No"/>
    <s v="-"/>
    <s v="No"/>
    <n v="0"/>
    <n v="1"/>
    <n v="4"/>
  </r>
  <r>
    <s v="Joana Silveira"/>
    <x v="0"/>
    <d v="2024-09-10T00:00:00"/>
    <s v="Yes"/>
    <n v="15"/>
    <x v="1"/>
    <s v="Yes"/>
    <n v="30"/>
    <s v="Yes"/>
    <n v="20"/>
    <n v="3"/>
    <n v="62"/>
  </r>
  <r>
    <s v="Lucas Martins"/>
    <x v="2"/>
    <d v="2024-09-11T00:00:00"/>
    <s v="No"/>
    <n v="10"/>
    <x v="0"/>
    <s v="No"/>
    <s v="-"/>
    <s v="Yes"/>
    <n v="20"/>
    <n v="10"/>
    <n v="20"/>
  </r>
  <r>
    <s v="Marcela Gouveia"/>
    <x v="1"/>
    <d v="2024-09-12T00:00:00"/>
    <s v="Yes"/>
    <n v="5"/>
    <x v="2"/>
    <s v="No"/>
    <s v="-"/>
    <s v="No"/>
    <n v="0"/>
    <n v="0"/>
    <n v="5"/>
  </r>
  <r>
    <s v="Nicolas Borges"/>
    <x v="0"/>
    <d v="2024-09-13T00:00:00"/>
    <s v="No"/>
    <n v="15"/>
    <x v="0"/>
    <s v="Yes"/>
    <n v="30"/>
    <s v="Yes"/>
    <n v="20"/>
    <n v="15"/>
    <n v="50"/>
  </r>
  <r>
    <s v="Olivia Freitas"/>
    <x v="2"/>
    <d v="2024-09-14T00:00:00"/>
    <s v="Yes"/>
    <n v="10"/>
    <x v="1"/>
    <s v="No"/>
    <s v="-"/>
    <s v="Yes"/>
    <n v="20"/>
    <n v="15"/>
    <n v="15"/>
  </r>
  <r>
    <s v="Paulo Nogueira"/>
    <x v="1"/>
    <d v="2024-09-15T00:00:00"/>
    <s v="No"/>
    <n v="5"/>
    <x v="0"/>
    <s v="No"/>
    <s v="-"/>
    <s v="No"/>
    <n v="0"/>
    <n v="1"/>
    <n v="4"/>
  </r>
  <r>
    <s v="Raquel Andrade"/>
    <x v="0"/>
    <d v="2024-09-16T00:00:00"/>
    <s v="Yes"/>
    <n v="15"/>
    <x v="2"/>
    <s v="Yes"/>
    <n v="30"/>
    <s v="Yes"/>
    <n v="20"/>
    <n v="7"/>
    <n v="58"/>
  </r>
  <r>
    <s v="Sônia Carvalho"/>
    <x v="2"/>
    <d v="2024-09-17T00:00:00"/>
    <s v="No"/>
    <n v="10"/>
    <x v="0"/>
    <s v="No"/>
    <s v="-"/>
    <s v="Yes"/>
    <n v="20"/>
    <n v="10"/>
    <n v="20"/>
  </r>
  <r>
    <s v="Tiago Rodrigues"/>
    <x v="1"/>
    <d v="2024-09-18T00:00:00"/>
    <s v="Yes"/>
    <n v="5"/>
    <x v="0"/>
    <s v="No"/>
    <s v="-"/>
    <s v="No"/>
    <n v="0"/>
    <n v="0"/>
    <n v="5"/>
  </r>
  <r>
    <s v="Ursula Monteiro"/>
    <x v="0"/>
    <d v="2024-09-19T00:00:00"/>
    <s v="No"/>
    <n v="15"/>
    <x v="2"/>
    <s v="Yes"/>
    <n v="30"/>
    <s v="Yes"/>
    <n v="20"/>
    <n v="7"/>
    <n v="58"/>
  </r>
  <r>
    <s v="Vanessa Pereira"/>
    <x v="2"/>
    <d v="2024-09-20T00:00:00"/>
    <s v="Yes"/>
    <n v="10"/>
    <x v="1"/>
    <s v="No"/>
    <s v="-"/>
    <s v="Yes"/>
    <n v="20"/>
    <n v="10"/>
    <n v="20"/>
  </r>
  <r>
    <s v="Walter Silva"/>
    <x v="1"/>
    <d v="2024-09-21T00:00:00"/>
    <s v="No"/>
    <n v="5"/>
    <x v="2"/>
    <s v="No"/>
    <s v="-"/>
    <s v="No"/>
    <n v="0"/>
    <n v="1"/>
    <n v="4"/>
  </r>
  <r>
    <s v="Xavier Almeida"/>
    <x v="0"/>
    <d v="2024-09-22T00:00:00"/>
    <s v="Yes"/>
    <n v="15"/>
    <x v="0"/>
    <s v="Yes"/>
    <n v="30"/>
    <s v="Yes"/>
    <n v="20"/>
    <n v="15"/>
    <n v="50"/>
  </r>
  <r>
    <s v="Yasmine Correia"/>
    <x v="2"/>
    <d v="2024-09-23T00:00:00"/>
    <s v="No"/>
    <n v="10"/>
    <x v="0"/>
    <s v="No"/>
    <s v="-"/>
    <s v="Yes"/>
    <n v="20"/>
    <n v="5"/>
    <n v="25"/>
  </r>
  <r>
    <s v="Zacarias Almeida"/>
    <x v="1"/>
    <d v="2024-09-24T00:00:00"/>
    <s v="Yes"/>
    <n v="5"/>
    <x v="1"/>
    <s v="No"/>
    <s v="-"/>
    <s v="No"/>
    <n v="0"/>
    <n v="0"/>
    <n v="5"/>
  </r>
  <r>
    <s v="Amanda Costa"/>
    <x v="0"/>
    <d v="2024-09-25T00:00:00"/>
    <s v="No"/>
    <n v="15"/>
    <x v="2"/>
    <s v="Yes"/>
    <n v="30"/>
    <s v="Yes"/>
    <n v="20"/>
    <n v="20"/>
    <n v="45"/>
  </r>
  <r>
    <s v="Bruno Ferreira"/>
    <x v="2"/>
    <d v="2024-09-26T00:00:00"/>
    <s v="Yes"/>
    <n v="10"/>
    <x v="2"/>
    <s v="No"/>
    <s v="-"/>
    <s v="Yes"/>
    <n v="20"/>
    <n v="12"/>
    <n v="18"/>
  </r>
  <r>
    <s v="Carla Dias"/>
    <x v="1"/>
    <d v="2024-09-27T00:00:00"/>
    <s v="No"/>
    <n v="5"/>
    <x v="0"/>
    <s v="No"/>
    <s v="-"/>
    <s v="No"/>
    <n v="0"/>
    <n v="2"/>
    <n v="3"/>
  </r>
  <r>
    <s v="Diogo Martins"/>
    <x v="0"/>
    <d v="2024-09-28T00:00:00"/>
    <s v="Yes"/>
    <n v="15"/>
    <x v="1"/>
    <s v="Yes"/>
    <n v="30"/>
    <s v="Yes"/>
    <n v="20"/>
    <n v="5"/>
    <n v="60"/>
  </r>
  <r>
    <s v="Elisa Campos"/>
    <x v="2"/>
    <d v="2024-09-29T00:00:00"/>
    <s v="No"/>
    <n v="10"/>
    <x v="0"/>
    <s v="No"/>
    <s v="-"/>
    <s v="Yes"/>
    <n v="20"/>
    <n v="10"/>
    <n v="20"/>
  </r>
  <r>
    <s v="Fabiana Lima"/>
    <x v="1"/>
    <d v="2024-09-30T00:00:00"/>
    <s v="Yes"/>
    <n v="5"/>
    <x v="2"/>
    <s v="No"/>
    <s v="-"/>
    <s v="No"/>
    <n v="0"/>
    <n v="0"/>
    <n v="5"/>
  </r>
  <r>
    <s v="Gabriel Santos"/>
    <x v="0"/>
    <d v="2024-10-01T00:00:00"/>
    <s v="No"/>
    <n v="15"/>
    <x v="0"/>
    <s v="Yes"/>
    <n v="30"/>
    <s v="Yes"/>
    <n v="20"/>
    <n v="3"/>
    <n v="62"/>
  </r>
  <r>
    <s v="Helena Ferreira"/>
    <x v="2"/>
    <d v="2024-10-02T00:00:00"/>
    <s v="Yes"/>
    <n v="10"/>
    <x v="1"/>
    <s v="No"/>
    <s v="-"/>
    <s v="Yes"/>
    <n v="20"/>
    <n v="15"/>
    <n v="15"/>
  </r>
  <r>
    <s v="Ígor Nunes"/>
    <x v="1"/>
    <d v="2024-10-03T00:00:00"/>
    <s v="No"/>
    <n v="5"/>
    <x v="0"/>
    <s v="No"/>
    <s v="-"/>
    <s v="No"/>
    <n v="0"/>
    <n v="1"/>
    <n v="4"/>
  </r>
  <r>
    <s v="Joana Silveira"/>
    <x v="0"/>
    <d v="2024-10-04T00:00:00"/>
    <s v="Yes"/>
    <n v="15"/>
    <x v="2"/>
    <s v="Yes"/>
    <n v="30"/>
    <s v="Yes"/>
    <n v="20"/>
    <n v="7"/>
    <n v="58"/>
  </r>
  <r>
    <s v="Kléber Oliveira"/>
    <x v="2"/>
    <d v="2024-10-05T00:00:00"/>
    <s v="No"/>
    <n v="10"/>
    <x v="0"/>
    <s v="No"/>
    <s v="-"/>
    <s v="Yes"/>
    <n v="20"/>
    <n v="10"/>
    <n v="20"/>
  </r>
  <r>
    <s v="Luciana Morais"/>
    <x v="1"/>
    <d v="2024-10-06T00:00:00"/>
    <s v="Yes"/>
    <n v="5"/>
    <x v="1"/>
    <s v="No"/>
    <s v="-"/>
    <s v="No"/>
    <n v="0"/>
    <n v="0"/>
    <n v="5"/>
  </r>
  <r>
    <s v="Marcos Vinícius"/>
    <x v="0"/>
    <d v="2024-10-07T00:00:00"/>
    <s v="No"/>
    <n v="15"/>
    <x v="0"/>
    <s v="Yes"/>
    <n v="30"/>
    <s v="Yes"/>
    <n v="20"/>
    <n v="20"/>
    <n v="45"/>
  </r>
  <r>
    <s v="Natália Barros"/>
    <x v="2"/>
    <d v="2024-10-08T00:00:00"/>
    <s v="Yes"/>
    <n v="10"/>
    <x v="2"/>
    <s v="No"/>
    <s v="-"/>
    <s v="Yes"/>
    <n v="20"/>
    <n v="15"/>
    <n v="15"/>
  </r>
  <r>
    <s v="Oscar Sampaio"/>
    <x v="1"/>
    <d v="2024-10-09T00:00:00"/>
    <s v="No"/>
    <n v="5"/>
    <x v="0"/>
    <s v="No"/>
    <s v="-"/>
    <s v="No"/>
    <n v="0"/>
    <n v="1"/>
    <n v="4"/>
  </r>
  <r>
    <s v="Patrícia Leite"/>
    <x v="0"/>
    <d v="2024-10-10T00:00:00"/>
    <s v="Yes"/>
    <n v="15"/>
    <x v="1"/>
    <s v="Yes"/>
    <n v="30"/>
    <s v="Yes"/>
    <n v="20"/>
    <n v="3"/>
    <n v="62"/>
  </r>
  <r>
    <s v="Quênia Rocha"/>
    <x v="2"/>
    <d v="2024-10-11T00:00:00"/>
    <s v="No"/>
    <n v="10"/>
    <x v="0"/>
    <s v="No"/>
    <s v="-"/>
    <s v="Yes"/>
    <n v="20"/>
    <n v="10"/>
    <n v="20"/>
  </r>
  <r>
    <s v="Rafael Torres"/>
    <x v="1"/>
    <d v="2024-10-12T00:00:00"/>
    <s v="Yes"/>
    <n v="5"/>
    <x v="2"/>
    <s v="No"/>
    <s v="-"/>
    <s v="No"/>
    <n v="0"/>
    <n v="0"/>
    <n v="5"/>
  </r>
  <r>
    <s v="Sandra Gouveia"/>
    <x v="0"/>
    <d v="2024-10-13T00:00:00"/>
    <s v="No"/>
    <n v="15"/>
    <x v="0"/>
    <s v="Yes"/>
    <n v="30"/>
    <s v="Yes"/>
    <n v="20"/>
    <n v="15"/>
    <n v="50"/>
  </r>
  <r>
    <s v="Tiago Lacerda"/>
    <x v="2"/>
    <d v="2024-10-14T00:00:00"/>
    <s v="Yes"/>
    <n v="10"/>
    <x v="1"/>
    <s v="No"/>
    <s v="-"/>
    <s v="Yes"/>
    <n v="20"/>
    <n v="15"/>
    <n v="15"/>
  </r>
  <r>
    <s v="Ursula Fonseca"/>
    <x v="1"/>
    <d v="2024-10-15T00:00:00"/>
    <s v="No"/>
    <n v="5"/>
    <x v="0"/>
    <s v="No"/>
    <s v="-"/>
    <s v="No"/>
    <n v="0"/>
    <n v="1"/>
    <n v="4"/>
  </r>
  <r>
    <s v="Vanessa Andrade"/>
    <x v="0"/>
    <d v="2024-10-16T00:00:00"/>
    <s v="Yes"/>
    <n v="15"/>
    <x v="2"/>
    <s v="Yes"/>
    <n v="30"/>
    <s v="Yes"/>
    <n v="20"/>
    <n v="7"/>
    <n v="58"/>
  </r>
  <r>
    <s v="William Castro"/>
    <x v="2"/>
    <d v="2024-10-17T00:00:00"/>
    <s v="No"/>
    <n v="10"/>
    <x v="0"/>
    <s v="No"/>
    <s v="-"/>
    <s v="Yes"/>
    <n v="20"/>
    <n v="10"/>
    <n v="20"/>
  </r>
  <r>
    <s v="Xavier Monteiro"/>
    <x v="1"/>
    <d v="2024-10-18T00:00:00"/>
    <s v="Yes"/>
    <n v="5"/>
    <x v="1"/>
    <s v="No"/>
    <s v="-"/>
    <s v="No"/>
    <n v="0"/>
    <n v="0"/>
    <n v="5"/>
  </r>
  <r>
    <s v="Yasmin Figueira"/>
    <x v="0"/>
    <d v="2024-10-19T00:00:00"/>
    <s v="No"/>
    <n v="15"/>
    <x v="0"/>
    <s v="Yes"/>
    <n v="30"/>
    <s v="Yes"/>
    <n v="20"/>
    <n v="15"/>
    <n v="50"/>
  </r>
  <r>
    <s v="Zacarias Mendonça"/>
    <x v="2"/>
    <d v="2024-10-20T00:00:00"/>
    <s v="Yes"/>
    <n v="10"/>
    <x v="2"/>
    <s v="No"/>
    <s v="-"/>
    <s v="Yes"/>
    <n v="20"/>
    <n v="12"/>
    <n v="18"/>
  </r>
  <r>
    <s v="Amanda Menezes"/>
    <x v="1"/>
    <d v="2024-10-21T00:00:00"/>
    <s v="No"/>
    <n v="5"/>
    <x v="0"/>
    <s v="No"/>
    <s v="-"/>
    <s v="No"/>
    <n v="0"/>
    <n v="2"/>
    <n v="3"/>
  </r>
  <r>
    <s v="Bruno Santos"/>
    <x v="0"/>
    <d v="2024-10-22T00:00:00"/>
    <s v="Yes"/>
    <n v="15"/>
    <x v="1"/>
    <s v="Yes"/>
    <n v="30"/>
    <s v="Yes"/>
    <n v="20"/>
    <n v="5"/>
    <n v="60"/>
  </r>
  <r>
    <s v="Carla Ferreira"/>
    <x v="2"/>
    <d v="2024-10-23T00:00:00"/>
    <s v="No"/>
    <n v="10"/>
    <x v="0"/>
    <s v="No"/>
    <s v="-"/>
    <s v="Yes"/>
    <n v="20"/>
    <n v="10"/>
    <n v="20"/>
  </r>
  <r>
    <s v="Diogo Alves"/>
    <x v="1"/>
    <d v="2024-10-24T00:00:00"/>
    <s v="Yes"/>
    <n v="5"/>
    <x v="2"/>
    <s v="No"/>
    <s v="-"/>
    <s v="No"/>
    <n v="0"/>
    <n v="0"/>
    <n v="5"/>
  </r>
  <r>
    <s v="Elisa Neves"/>
    <x v="0"/>
    <d v="2024-10-25T00:00:00"/>
    <s v="No"/>
    <n v="15"/>
    <x v="0"/>
    <s v="Yes"/>
    <n v="30"/>
    <s v="Yes"/>
    <n v="20"/>
    <n v="3"/>
    <n v="62"/>
  </r>
  <r>
    <s v="Fabiano Pires"/>
    <x v="2"/>
    <d v="2024-10-26T00:00:00"/>
    <s v="Yes"/>
    <n v="10"/>
    <x v="1"/>
    <s v="No"/>
    <s v="-"/>
    <s v="Yes"/>
    <n v="20"/>
    <n v="15"/>
    <n v="15"/>
  </r>
  <r>
    <s v="Giovana Ribeiro"/>
    <x v="1"/>
    <d v="2024-10-27T00:00:00"/>
    <s v="No"/>
    <n v="5"/>
    <x v="0"/>
    <s v="No"/>
    <s v="-"/>
    <s v="No"/>
    <n v="0"/>
    <n v="1"/>
    <n v="4"/>
  </r>
  <r>
    <s v="Hélio Costa"/>
    <x v="0"/>
    <d v="2024-10-28T00:00:00"/>
    <s v="Yes"/>
    <n v="15"/>
    <x v="2"/>
    <s v="Yes"/>
    <n v="30"/>
    <s v="Yes"/>
    <n v="20"/>
    <n v="7"/>
    <n v="58"/>
  </r>
  <r>
    <s v="Íris Loureiro"/>
    <x v="2"/>
    <d v="2024-10-29T00:00:00"/>
    <s v="No"/>
    <n v="10"/>
    <x v="0"/>
    <s v="No"/>
    <s v="-"/>
    <s v="Yes"/>
    <n v="20"/>
    <n v="10"/>
    <n v="20"/>
  </r>
  <r>
    <s v="João Pereira"/>
    <x v="1"/>
    <d v="2024-10-30T00:00:00"/>
    <s v="Yes"/>
    <n v="5"/>
    <x v="1"/>
    <s v="No"/>
    <s v="-"/>
    <s v="No"/>
    <n v="0"/>
    <n v="0"/>
    <n v="5"/>
  </r>
  <r>
    <s v="Klara Silva"/>
    <x v="0"/>
    <d v="2024-10-31T00:00:00"/>
    <s v="No"/>
    <n v="15"/>
    <x v="0"/>
    <s v="Yes"/>
    <n v="30"/>
    <s v="Yes"/>
    <n v="20"/>
    <n v="20"/>
    <n v="45"/>
  </r>
  <r>
    <s v="Luciana Barros"/>
    <x v="2"/>
    <d v="2024-11-01T00:00:00"/>
    <s v="Yes"/>
    <n v="10"/>
    <x v="2"/>
    <s v="No"/>
    <s v="-"/>
    <s v="Yes"/>
    <n v="20"/>
    <n v="15"/>
    <n v="15"/>
  </r>
  <r>
    <s v="Marcos Gomes"/>
    <x v="1"/>
    <d v="2024-11-02T00:00:00"/>
    <s v="No"/>
    <n v="5"/>
    <x v="0"/>
    <s v="No"/>
    <s v="-"/>
    <s v="No"/>
    <n v="0"/>
    <n v="1"/>
    <n v="4"/>
  </r>
  <r>
    <s v="Natália Soares"/>
    <x v="0"/>
    <d v="2024-11-03T00:00:00"/>
    <s v="Yes"/>
    <n v="15"/>
    <x v="1"/>
    <s v="Yes"/>
    <n v="30"/>
    <s v="Yes"/>
    <n v="20"/>
    <n v="3"/>
    <n v="62"/>
  </r>
  <r>
    <s v="Oscar Machado"/>
    <x v="2"/>
    <d v="2024-11-04T00:00:00"/>
    <s v="No"/>
    <n v="10"/>
    <x v="0"/>
    <s v="No"/>
    <s v="-"/>
    <s v="Yes"/>
    <n v="20"/>
    <n v="10"/>
    <n v="20"/>
  </r>
  <r>
    <s v="Patrícia Lima"/>
    <x v="1"/>
    <d v="2024-11-05T00:00:00"/>
    <s v="Yes"/>
    <n v="5"/>
    <x v="2"/>
    <s v="No"/>
    <s v="-"/>
    <s v="No"/>
    <n v="0"/>
    <n v="0"/>
    <n v="5"/>
  </r>
  <r>
    <s v="Quirino Neto"/>
    <x v="0"/>
    <d v="2024-11-06T00:00:00"/>
    <s v="No"/>
    <n v="15"/>
    <x v="0"/>
    <s v="Yes"/>
    <n v="30"/>
    <s v="Yes"/>
    <n v="20"/>
    <n v="15"/>
    <n v="50"/>
  </r>
  <r>
    <s v="Rafaela Souza"/>
    <x v="1"/>
    <d v="2024-11-07T00:00:00"/>
    <s v="Yes"/>
    <n v="5"/>
    <x v="0"/>
    <s v="No"/>
    <s v="-"/>
    <s v="No"/>
    <n v="0"/>
    <n v="0"/>
    <n v="5"/>
  </r>
  <r>
    <s v="Sandro Almeida"/>
    <x v="0"/>
    <d v="2024-11-08T00:00:00"/>
    <s v="No"/>
    <n v="15"/>
    <x v="2"/>
    <s v="Yes"/>
    <n v="30"/>
    <s v="Yes"/>
    <n v="20"/>
    <n v="7"/>
    <n v="58"/>
  </r>
  <r>
    <s v="Tânia Ribeiro"/>
    <x v="2"/>
    <d v="2024-11-09T00:00:00"/>
    <s v="Yes"/>
    <n v="10"/>
    <x v="1"/>
    <s v="No"/>
    <s v="-"/>
    <s v="Yes"/>
    <n v="20"/>
    <n v="10"/>
    <n v="20"/>
  </r>
  <r>
    <s v="Ugo Dias"/>
    <x v="1"/>
    <d v="2024-11-10T00:00:00"/>
    <s v="No"/>
    <n v="5"/>
    <x v="2"/>
    <s v="No"/>
    <s v="-"/>
    <s v="No"/>
    <n v="0"/>
    <n v="1"/>
    <n v="4"/>
  </r>
  <r>
    <s v="Valéria Lima"/>
    <x v="0"/>
    <d v="2024-11-11T00:00:00"/>
    <s v="Yes"/>
    <n v="15"/>
    <x v="0"/>
    <s v="Yes"/>
    <n v="30"/>
    <s v="Yes"/>
    <n v="20"/>
    <n v="15"/>
    <n v="50"/>
  </r>
  <r>
    <s v="William Fernandes"/>
    <x v="2"/>
    <d v="2024-11-12T00:00:00"/>
    <s v="No"/>
    <n v="10"/>
    <x v="0"/>
    <s v="No"/>
    <s v="-"/>
    <s v="Yes"/>
    <n v="20"/>
    <n v="5"/>
    <n v="25"/>
  </r>
  <r>
    <s v="Xuxa Mendes"/>
    <x v="1"/>
    <d v="2024-11-13T00:00:00"/>
    <s v="Yes"/>
    <n v="5"/>
    <x v="1"/>
    <s v="No"/>
    <s v="-"/>
    <s v="No"/>
    <n v="0"/>
    <n v="0"/>
    <n v="5"/>
  </r>
  <r>
    <s v="Ygor Farias"/>
    <x v="0"/>
    <d v="2024-11-14T00:00:00"/>
    <s v="No"/>
    <n v="15"/>
    <x v="2"/>
    <s v="Yes"/>
    <n v="30"/>
    <s v="Yes"/>
    <n v="20"/>
    <n v="20"/>
    <n v="45"/>
  </r>
  <r>
    <s v="Zilda Barros"/>
    <x v="2"/>
    <d v="2024-11-15T00:00:00"/>
    <s v="Yes"/>
    <n v="10"/>
    <x v="2"/>
    <s v="No"/>
    <s v="-"/>
    <s v="Yes"/>
    <n v="20"/>
    <n v="12"/>
    <n v="18"/>
  </r>
  <r>
    <s v="Amanda Santos"/>
    <x v="1"/>
    <d v="2024-11-16T00:00:00"/>
    <s v="No"/>
    <n v="5"/>
    <x v="0"/>
    <s v="No"/>
    <s v="-"/>
    <s v="No"/>
    <n v="0"/>
    <n v="2"/>
    <n v="3"/>
  </r>
  <r>
    <s v="Bruno Costa"/>
    <x v="0"/>
    <d v="2024-11-17T00:00:00"/>
    <s v="Yes"/>
    <n v="15"/>
    <x v="1"/>
    <s v="Yes"/>
    <n v="30"/>
    <s v="Yes"/>
    <n v="20"/>
    <n v="5"/>
    <n v="60"/>
  </r>
  <r>
    <s v="Carla Rodrigues"/>
    <x v="2"/>
    <d v="2024-11-18T00:00:00"/>
    <s v="No"/>
    <n v="10"/>
    <x v="0"/>
    <s v="No"/>
    <s v="-"/>
    <s v="Yes"/>
    <n v="20"/>
    <n v="10"/>
    <n v="20"/>
  </r>
  <r>
    <s v="Diogo Pereira"/>
    <x v="1"/>
    <d v="2024-11-19T00:00:00"/>
    <s v="Yes"/>
    <n v="5"/>
    <x v="2"/>
    <s v="No"/>
    <s v="-"/>
    <s v="No"/>
    <n v="0"/>
    <n v="0"/>
    <n v="5"/>
  </r>
  <r>
    <s v="Elisa Correia"/>
    <x v="0"/>
    <d v="2024-11-20T00:00:00"/>
    <s v="No"/>
    <n v="15"/>
    <x v="0"/>
    <s v="Yes"/>
    <n v="30"/>
    <s v="Yes"/>
    <n v="20"/>
    <n v="3"/>
    <n v="62"/>
  </r>
  <r>
    <s v="Fábio Lourenço"/>
    <x v="2"/>
    <d v="2024-11-21T00:00:00"/>
    <s v="Yes"/>
    <n v="10"/>
    <x v="1"/>
    <s v="No"/>
    <s v="-"/>
    <s v="Yes"/>
    <n v="20"/>
    <n v="15"/>
    <n v="15"/>
  </r>
  <r>
    <s v="Gabriela Neves"/>
    <x v="1"/>
    <d v="2024-11-22T00:00:00"/>
    <s v="No"/>
    <n v="5"/>
    <x v="0"/>
    <s v="No"/>
    <s v="-"/>
    <s v="No"/>
    <n v="0"/>
    <n v="1"/>
    <n v="4"/>
  </r>
  <r>
    <s v="Henrique Gonçalves"/>
    <x v="0"/>
    <d v="2024-11-23T00:00:00"/>
    <s v="Yes"/>
    <n v="15"/>
    <x v="2"/>
    <s v="Yes"/>
    <n v="30"/>
    <s v="Yes"/>
    <n v="20"/>
    <n v="7"/>
    <n v="58"/>
  </r>
  <r>
    <s v="Íris Santos"/>
    <x v="2"/>
    <d v="2024-11-24T00:00:00"/>
    <s v="No"/>
    <n v="10"/>
    <x v="0"/>
    <s v="No"/>
    <s v="-"/>
    <s v="Yes"/>
    <n v="20"/>
    <n v="10"/>
    <n v="20"/>
  </r>
  <r>
    <s v="João Marcelo Alves"/>
    <x v="1"/>
    <d v="2024-11-25T00:00:00"/>
    <s v="Yes"/>
    <n v="5"/>
    <x v="1"/>
    <s v="No"/>
    <s v="-"/>
    <s v="No"/>
    <n v="0"/>
    <n v="0"/>
    <n v="5"/>
  </r>
  <r>
    <s v="Klara Fonseca"/>
    <x v="0"/>
    <d v="2024-11-26T00:00:00"/>
    <s v="No"/>
    <n v="15"/>
    <x v="0"/>
    <s v="Yes"/>
    <n v="30"/>
    <s v="Yes"/>
    <n v="20"/>
    <n v="20"/>
    <n v="45"/>
  </r>
  <r>
    <s v="Lucas Mendonça"/>
    <x v="2"/>
    <d v="2024-11-27T00:00:00"/>
    <s v="Yes"/>
    <n v="10"/>
    <x v="2"/>
    <s v="No"/>
    <s v="-"/>
    <s v="Yes"/>
    <n v="20"/>
    <n v="15"/>
    <n v="15"/>
  </r>
  <r>
    <s v="Marcela Torres"/>
    <x v="1"/>
    <d v="2024-11-28T00:00:00"/>
    <s v="No"/>
    <n v="5"/>
    <x v="0"/>
    <s v="No"/>
    <s v="-"/>
    <s v="No"/>
    <n v="0"/>
    <n v="1"/>
    <n v="4"/>
  </r>
  <r>
    <s v="Natália Castro"/>
    <x v="0"/>
    <d v="2024-11-29T00:00:00"/>
    <s v="Yes"/>
    <n v="15"/>
    <x v="1"/>
    <s v="Yes"/>
    <n v="30"/>
    <s v="Yes"/>
    <n v="20"/>
    <n v="3"/>
    <n v="62"/>
  </r>
  <r>
    <s v="Oscar Martins"/>
    <x v="2"/>
    <d v="2024-11-30T00:00:00"/>
    <s v="No"/>
    <n v="10"/>
    <x v="0"/>
    <s v="No"/>
    <s v="-"/>
    <s v="Yes"/>
    <n v="20"/>
    <n v="10"/>
    <n v="20"/>
  </r>
  <r>
    <s v="Patrícia Oliveira"/>
    <x v="1"/>
    <d v="2024-12-01T00:00:00"/>
    <s v="Yes"/>
    <n v="5"/>
    <x v="2"/>
    <s v="No"/>
    <s v="-"/>
    <s v="No"/>
    <n v="0"/>
    <n v="0"/>
    <n v="5"/>
  </r>
  <r>
    <s v="Quentin Nogueira"/>
    <x v="0"/>
    <d v="2024-12-02T00:00:00"/>
    <s v="No"/>
    <n v="15"/>
    <x v="0"/>
    <s v="Yes"/>
    <n v="30"/>
    <s v="Yes"/>
    <n v="20"/>
    <n v="15"/>
    <n v="50"/>
  </r>
  <r>
    <s v="Raquel Silva"/>
    <x v="2"/>
    <d v="2024-12-03T00:00:00"/>
    <s v="Yes"/>
    <n v="10"/>
    <x v="1"/>
    <s v="No"/>
    <s v="-"/>
    <s v="Yes"/>
    <n v="20"/>
    <n v="15"/>
    <n v="15"/>
  </r>
  <r>
    <s v="Sandro Gomes"/>
    <x v="1"/>
    <d v="2024-12-04T00:00:00"/>
    <s v="No"/>
    <n v="5"/>
    <x v="0"/>
    <s v="No"/>
    <s v="-"/>
    <s v="No"/>
    <n v="0"/>
    <n v="1"/>
    <n v="4"/>
  </r>
  <r>
    <s v="Tânia Machado"/>
    <x v="0"/>
    <d v="2024-12-05T00:00:00"/>
    <s v="Yes"/>
    <n v="15"/>
    <x v="2"/>
    <s v="Yes"/>
    <n v="30"/>
    <s v="Yes"/>
    <n v="20"/>
    <n v="7"/>
    <n v="58"/>
  </r>
  <r>
    <s v="Ursula Silva"/>
    <x v="2"/>
    <d v="2024-12-06T00:00:00"/>
    <s v="No"/>
    <n v="10"/>
    <x v="0"/>
    <s v="No"/>
    <s v="-"/>
    <s v="Yes"/>
    <n v="20"/>
    <n v="10"/>
    <n v="20"/>
  </r>
  <r>
    <s v="Vanessa Moraes"/>
    <x v="1"/>
    <d v="2024-12-07T00:00:00"/>
    <s v="Yes"/>
    <n v="5"/>
    <x v="1"/>
    <s v="No"/>
    <s v="-"/>
    <s v="No"/>
    <n v="0"/>
    <n v="0"/>
    <n v="5"/>
  </r>
  <r>
    <s v="William Carvalho"/>
    <x v="0"/>
    <d v="2024-12-08T00:00:00"/>
    <s v="No"/>
    <n v="15"/>
    <x v="0"/>
    <s v="Yes"/>
    <n v="30"/>
    <s v="Yes"/>
    <n v="20"/>
    <n v="20"/>
    <n v="45"/>
  </r>
  <r>
    <s v="Xavier Reis"/>
    <x v="2"/>
    <d v="2024-12-09T00:00:00"/>
    <s v="Yes"/>
    <n v="10"/>
    <x v="2"/>
    <s v="No"/>
    <s v="-"/>
    <s v="Yes"/>
    <n v="20"/>
    <n v="12"/>
    <n v="18"/>
  </r>
  <r>
    <s v="Yasmin Rocha"/>
    <x v="1"/>
    <d v="2024-12-10T00:00:00"/>
    <s v="No"/>
    <n v="5"/>
    <x v="0"/>
    <s v="No"/>
    <s v="-"/>
    <s v="No"/>
    <n v="0"/>
    <n v="2"/>
    <n v="3"/>
  </r>
  <r>
    <s v="Zacarias Duarte"/>
    <x v="0"/>
    <d v="2024-12-11T00:00:00"/>
    <s v="Yes"/>
    <n v="15"/>
    <x v="1"/>
    <s v="Yes"/>
    <n v="30"/>
    <s v="Yes"/>
    <n v="20"/>
    <n v="5"/>
    <n v="60"/>
  </r>
  <r>
    <s v="Amanda Freitas"/>
    <x v="2"/>
    <d v="2024-12-12T00:00:00"/>
    <s v="No"/>
    <n v="10"/>
    <x v="0"/>
    <s v="No"/>
    <s v="-"/>
    <s v="Yes"/>
    <n v="20"/>
    <n v="10"/>
    <n v="20"/>
  </r>
  <r>
    <s v="Bruno Almeida"/>
    <x v="1"/>
    <d v="2024-12-13T00:00:00"/>
    <s v="Yes"/>
    <n v="5"/>
    <x v="2"/>
    <s v="No"/>
    <s v="-"/>
    <s v="No"/>
    <n v="0"/>
    <n v="0"/>
    <n v="5"/>
  </r>
  <r>
    <s v="Carla Siqueira"/>
    <x v="0"/>
    <d v="2024-12-14T00:00:00"/>
    <s v="No"/>
    <n v="15"/>
    <x v="0"/>
    <s v="Yes"/>
    <n v="30"/>
    <s v="Yes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A7E7E-C3B1-446B-B192-CF15F835C233}" name="Tabela dinâ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6:C10" firstHeaderRow="1" firstDataRow="1" firstDataCol="1" rowPageCount="1" colPageCount="1"/>
  <pivotFields count="12"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2" hier="-1"/>
  </pageFields>
  <dataFields count="1">
    <dataField name="Soma de Total Value" fld="11" baseField="0" baseItem="0"/>
  </dataFields>
  <formats count="6">
    <format dxfId="21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BB820-D514-4673-824C-283800519615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4">
  <location ref="B15:C18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1">
    <format dxfId="22">
      <pivotArea outline="0" collapsedLevelsAreSubtotals="1" fieldPosition="0"/>
    </format>
  </format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C41EA-B890-44CE-B578-8F8306187DE4}" name="tbl_eaplay_annu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1">
  <location ref="B23:C2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2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5F24E-6681-4BC4-8934-EF43B02C0B97}" name="tbl_minecraftpass_annu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1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formats count="1">
    <format dxfId="2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058E9EE-60A4-4CA1-AD15-C073D975AF34}" sourceName="Subscription Type">
  <pivotTables>
    <pivotTable tabId="3" name="tbl_annual_total"/>
    <pivotTable tabId="3" name="tbl_eaplay_annual"/>
    <pivotTable tabId="3" name="tbl_minecraftpass_annual"/>
  </pivotTables>
  <data>
    <tabular pivotCacheId="2142305072">
      <items count="3">
        <i x="1"/>
        <i x="0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1FE02DFC-F862-44BA-BBA4-0856FB74F8B3}" sourceName="Auto Renewal">
  <pivotTables>
    <pivotTable tabId="3" name="tbl_annual_total"/>
  </pivotTables>
  <data>
    <tabular pivotCacheId="2142305072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8811607-3E01-4C87-BEC2-9A6759879AA7}" cache="SegmentaçãodeDados_Subscription_Type" caption="Subscription Type" style="SlicerStyleLight3 2" rowHeight="234950"/>
  <slicer name="Auto Renewal" xr10:uid="{823E4C01-7C78-4D4F-BE7B-0AAB5483D87A}" cache="SegmentaçãodeDados_Auto_Renewal" caption="Auto Renewal" style="SlicerStyleLight3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8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37"/>
    <tableColumn id="2" xr3:uid="{53DD39D0-2220-4121-9E9D-4EAA7E151C0F}" name="Name" dataDxfId="36"/>
    <tableColumn id="3" xr3:uid="{4F5FF271-4C57-4BE0-8F2C-F82C8551625C}" name="Plan" dataDxfId="35"/>
    <tableColumn id="4" xr3:uid="{8C17EB93-79B9-4E55-B8F7-BEB82F8253E9}" name="Start Date" dataDxfId="34"/>
    <tableColumn id="5" xr3:uid="{48CEDF9B-1689-482A-A828-5CCE7713264A}" name="Auto Renewal" dataDxfId="33"/>
    <tableColumn id="6" xr3:uid="{78B82374-9AA7-4E38-AE4F-78CDE6C83720}" name="Subscription Price" dataDxfId="32" dataCellStyle="Moeda"/>
    <tableColumn id="7" xr3:uid="{F2433F68-AF33-49D0-B1FB-19A396074EDE}" name="Subscription Type" dataDxfId="31"/>
    <tableColumn id="8" xr3:uid="{FD4D9C95-F6E5-4933-9068-A71FF7DF9343}" name="EA Play Season Pass" dataDxfId="30"/>
    <tableColumn id="13" xr3:uid="{978DD0D2-834E-4CE4-A39B-30976086932F}" name="EA Play Season Pass_x000a_Price" dataDxfId="29" dataCellStyle="Moeda"/>
    <tableColumn id="9" xr3:uid="{6E29F111-C395-4580-9DAD-3407D9E8B1A4}" name="Minecraft Season Pass" dataDxfId="28"/>
    <tableColumn id="10" xr3:uid="{EF544EAA-7F25-4FD5-A10E-8E62804DB9E3}" name="Minecraft Season Pass Price" dataDxfId="27" dataCellStyle="Moeda"/>
    <tableColumn id="11" xr3:uid="{7F6EB64A-1F07-4E48-9F0F-AC7D9DCD26F8}" name="Coupon Value" dataDxfId="26" dataCellStyle="Moeda"/>
    <tableColumn id="12" xr3:uid="{2B04ABC8-DE6F-426E-ADC0-D8AFC68CA58E}" name="Total Value" dataDxfId="2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7</v>
      </c>
      <c r="E5" s="7" t="s">
        <v>317</v>
      </c>
      <c r="F5" t="s">
        <v>6</v>
      </c>
    </row>
    <row r="6" spans="2:16">
      <c r="B6" s="4" t="s">
        <v>3</v>
      </c>
      <c r="C6" t="s">
        <v>7</v>
      </c>
    </row>
    <row r="7" spans="2:16">
      <c r="B7" s="5" t="s">
        <v>4</v>
      </c>
      <c r="C7" t="s">
        <v>8</v>
      </c>
    </row>
    <row r="8" spans="2:16">
      <c r="B8" s="6" t="s">
        <v>5</v>
      </c>
      <c r="C8" t="s">
        <v>8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E1" zoomScale="90" zoomScaleNormal="90" workbookViewId="0">
      <selection activeCell="G300" sqref="G300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15" t="s">
        <v>32</v>
      </c>
    </row>
    <row r="2" spans="1:13" ht="16.5" customHeight="1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D36"/>
  <sheetViews>
    <sheetView showGridLines="0" workbookViewId="0">
      <selection activeCell="E18" sqref="E18"/>
    </sheetView>
  </sheetViews>
  <sheetFormatPr defaultRowHeight="13.8"/>
  <cols>
    <col min="2" max="2" width="17.69921875" bestFit="1" customWidth="1"/>
    <col min="3" max="3" width="34.5" bestFit="1" customWidth="1"/>
    <col min="4" max="4" width="12.796875" customWidth="1"/>
    <col min="5" max="5" width="17.69921875" bestFit="1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3" spans="2:3">
      <c r="B3" t="s">
        <v>312</v>
      </c>
    </row>
    <row r="4" spans="2:3">
      <c r="B4" s="23" t="s">
        <v>15</v>
      </c>
      <c r="C4" s="24" t="s">
        <v>26</v>
      </c>
    </row>
    <row r="5" spans="2:3">
      <c r="B5" s="24"/>
      <c r="C5" s="24"/>
    </row>
    <row r="6" spans="2:3">
      <c r="B6" s="23" t="s">
        <v>315</v>
      </c>
      <c r="C6" s="24" t="s">
        <v>314</v>
      </c>
    </row>
    <row r="7" spans="2:3">
      <c r="B7" s="25" t="s">
        <v>21</v>
      </c>
      <c r="C7" s="26">
        <v>132</v>
      </c>
    </row>
    <row r="8" spans="2:3">
      <c r="B8" s="25" t="s">
        <v>25</v>
      </c>
      <c r="C8" s="26">
        <v>395</v>
      </c>
    </row>
    <row r="9" spans="2:3">
      <c r="B9" s="25" t="s">
        <v>17</v>
      </c>
      <c r="C9" s="26">
        <v>1781</v>
      </c>
    </row>
    <row r="10" spans="2:3">
      <c r="B10" s="25" t="s">
        <v>313</v>
      </c>
      <c r="C10" s="26">
        <v>2308</v>
      </c>
    </row>
    <row r="11" spans="2:3">
      <c r="B11" s="12"/>
    </row>
    <row r="12" spans="2:3">
      <c r="B12" s="12" t="s">
        <v>316</v>
      </c>
    </row>
    <row r="13" spans="2:3">
      <c r="B13" s="14" t="s">
        <v>15</v>
      </c>
      <c r="C13" t="s">
        <v>26</v>
      </c>
    </row>
    <row r="15" spans="2:3">
      <c r="B15" s="14" t="s">
        <v>315</v>
      </c>
      <c r="C15" t="s">
        <v>314</v>
      </c>
    </row>
    <row r="16" spans="2:3">
      <c r="B16" s="12" t="s">
        <v>22</v>
      </c>
      <c r="C16" s="22">
        <v>806</v>
      </c>
    </row>
    <row r="17" spans="2:4">
      <c r="B17" s="12" t="s">
        <v>18</v>
      </c>
      <c r="C17" s="22">
        <v>1502</v>
      </c>
    </row>
    <row r="18" spans="2:4">
      <c r="B18" s="12" t="s">
        <v>313</v>
      </c>
      <c r="C18" s="22">
        <v>2308</v>
      </c>
    </row>
    <row r="20" spans="2:4">
      <c r="B20" s="12" t="s">
        <v>321</v>
      </c>
    </row>
    <row r="21" spans="2:4">
      <c r="B21" s="14" t="s">
        <v>15</v>
      </c>
      <c r="C21" t="s">
        <v>26</v>
      </c>
    </row>
    <row r="23" spans="2:4">
      <c r="B23" s="14" t="s">
        <v>315</v>
      </c>
      <c r="C23" t="s">
        <v>319</v>
      </c>
    </row>
    <row r="24" spans="2:4">
      <c r="B24" s="12" t="s">
        <v>21</v>
      </c>
      <c r="C24" s="13">
        <v>0</v>
      </c>
    </row>
    <row r="25" spans="2:4">
      <c r="B25" s="12" t="s">
        <v>25</v>
      </c>
      <c r="C25" s="13">
        <v>0</v>
      </c>
    </row>
    <row r="26" spans="2:4">
      <c r="B26" s="12" t="s">
        <v>17</v>
      </c>
      <c r="C26" s="13">
        <v>990</v>
      </c>
    </row>
    <row r="27" spans="2:4">
      <c r="B27" s="12" t="s">
        <v>313</v>
      </c>
      <c r="C27" s="21">
        <v>990</v>
      </c>
      <c r="D27" s="21">
        <f>C27</f>
        <v>990</v>
      </c>
    </row>
    <row r="29" spans="2:4">
      <c r="B29" s="12" t="s">
        <v>322</v>
      </c>
    </row>
    <row r="30" spans="2:4">
      <c r="B30" s="14" t="s">
        <v>15</v>
      </c>
      <c r="C30" t="s">
        <v>26</v>
      </c>
    </row>
    <row r="32" spans="2:4">
      <c r="B32" s="14" t="s">
        <v>315</v>
      </c>
      <c r="C32" t="s">
        <v>320</v>
      </c>
    </row>
    <row r="33" spans="2:4">
      <c r="B33" s="12" t="s">
        <v>21</v>
      </c>
      <c r="C33" s="13">
        <v>0</v>
      </c>
    </row>
    <row r="34" spans="2:4">
      <c r="B34" s="12" t="s">
        <v>25</v>
      </c>
      <c r="C34" s="13">
        <v>480</v>
      </c>
    </row>
    <row r="35" spans="2:4">
      <c r="B35" s="12" t="s">
        <v>17</v>
      </c>
      <c r="C35" s="13">
        <v>660</v>
      </c>
    </row>
    <row r="36" spans="2:4">
      <c r="B36" s="12" t="s">
        <v>313</v>
      </c>
      <c r="C36" s="21">
        <v>1140</v>
      </c>
      <c r="D36" s="21">
        <f>C36</f>
        <v>1140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I156"/>
  <sheetViews>
    <sheetView showGridLines="0" showRowColHeaders="0" tabSelected="1" zoomScale="97" zoomScaleNormal="100" workbookViewId="0">
      <selection activeCell="T16" sqref="T16"/>
    </sheetView>
  </sheetViews>
  <sheetFormatPr defaultRowHeight="13.8"/>
  <cols>
    <col min="1" max="1" width="28.69921875" style="4" customWidth="1"/>
    <col min="2" max="2" width="3.59765625" customWidth="1"/>
    <col min="12" max="12" width="6.59765625" customWidth="1"/>
  </cols>
  <sheetData>
    <row r="1" spans="2:35" ht="46.8" customHeight="1" thickBot="1">
      <c r="B1" s="16"/>
      <c r="C1" s="18" t="s">
        <v>318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spans="2:35" ht="21" customHeight="1" thickTop="1"/>
    <row r="3" spans="2:35" ht="13.8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2:35" ht="13.8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2:35" ht="13.8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2:35" ht="13.8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2:35" ht="13.8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2:35" ht="13.8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20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2:35" ht="13.8" customHeight="1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2:35" ht="13.8" customHeight="1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2:35" ht="13.8" customHeight="1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2:35" ht="13.8" customHeight="1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spans="2:35" ht="13.8" customHeight="1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 spans="2:35" ht="13.8" customHeight="1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2:3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spans="2:3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2:3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9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2:3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2:3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spans="2: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2: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 spans="2: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2: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2: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spans="2: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spans="2: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spans="2: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 spans="2: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2:3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2: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spans="2:3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 spans="2:3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spans="2:3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spans="2:3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 spans="2: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 spans="2:3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2:3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2:3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2:3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spans="2:3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 spans="2:3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2:3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 spans="2:3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spans="2:3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spans="2:3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2:3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 spans="2: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2:3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 spans="2:3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2:3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2:3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 spans="2:3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spans="2:3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spans="2:3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2:3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2:3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2:3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 spans="2:3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 spans="2:3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2:3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 spans="2:3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2:3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 spans="2:3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2:3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 spans="2:3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2:3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 spans="2:3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2:3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2:3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 spans="2:3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 spans="2:3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 spans="2:3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2:3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 spans="2:3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 spans="2:3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 spans="2:3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2:3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 spans="2:3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 spans="2:3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 spans="2:3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2:3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 spans="2:3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 spans="2:3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 spans="2:3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2:3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 spans="2:3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2:3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 spans="2:3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 spans="2:3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 spans="2:3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2:3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 spans="2:3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 spans="2:3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 spans="2:3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2:3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 spans="2:3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 spans="2:3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 spans="2:3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2:3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 spans="2:3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 spans="2:3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 spans="2:3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 spans="2:3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 spans="2:3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 spans="2:3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 spans="2:3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 spans="2:3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 spans="2:3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 spans="2:3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 spans="2:3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 spans="2:3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 spans="2:3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 spans="2:3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 spans="2:3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 spans="2:3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 spans="2:3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 spans="2:3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 spans="2:3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 spans="2:3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 spans="2:3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 spans="2:3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 spans="2:3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 spans="2:3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 spans="2:3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 spans="2:3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 spans="2:3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 spans="2:3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 spans="2:3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 spans="2:3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 spans="2:3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 spans="2:3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 spans="2:3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 spans="2:3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 spans="2:3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 spans="2:3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 spans="2:3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 spans="2:3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 spans="2:3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 spans="2:3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 spans="2:3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 spans="2:3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 spans="2:3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 spans="2:3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 spans="2:3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 spans="2:3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 spans="2:3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 spans="2:3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 spans="2:3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 spans="2:3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 spans="2:3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 spans="2:3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 spans="2:3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 spans="2:3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 spans="2:3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 spans="2:3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 spans="2:3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Milton Reis</cp:lastModifiedBy>
  <dcterms:created xsi:type="dcterms:W3CDTF">2024-12-19T13:13:10Z</dcterms:created>
  <dcterms:modified xsi:type="dcterms:W3CDTF">2026-02-15T23:38:49Z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